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73936408b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aaS收益来源" sheetId="1" r:id="Rdc20cef76fb14c07"/>
    <x:sheet xmlns:r="http://schemas.openxmlformats.org/officeDocument/2006/relationships" name="01_Dashboard" sheetId="2" r:id="R5183ae38b3c0485b"/>
    <x:sheet xmlns:r="http://schemas.openxmlformats.org/officeDocument/2006/relationships" name="02_Inputs" sheetId="3" r:id="Raaa7726478514dc0"/>
    <x:sheet xmlns:r="http://schemas.openxmlformats.org/officeDocument/2006/relationships" name="03_Baseline" sheetId="4" r:id="R43743163d95a4f13"/>
    <x:sheet xmlns:r="http://schemas.openxmlformats.org/officeDocument/2006/relationships" name="04_Mode_Params" sheetId="5" r:id="R4566fb2cc7984762"/>
    <x:sheet xmlns:r="http://schemas.openxmlformats.org/officeDocument/2006/relationships" name="05_Annual_Model" sheetId="6" r:id="R18266e8acee24385"/>
    <x:sheet xmlns:r="http://schemas.openxmlformats.org/officeDocument/2006/relationships" name="06_Sensitivity" sheetId="7" r:id="R4b00cd8c069346c9"/>
    <x:sheet xmlns:r="http://schemas.openxmlformats.org/officeDocument/2006/relationships" name="07_Model_Checks" sheetId="8" r:id="R6b52002216ed4806"/>
    <x:sheet xmlns:r="http://schemas.openxmlformats.org/officeDocument/2006/relationships" name="08_Calc_Logic" sheetId="9" r:id="R4ad4c0fcc87c4024"/>
    <x:sheet xmlns:r="http://schemas.openxmlformats.org/officeDocument/2006/relationships" name="09_Glossary" sheetId="10" r:id="Rc2a59c8640b5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¥#,##0;[Red](¥#,##0);-"/>
    <x:numFmt numFmtId="202" formatCode="0.00;[Red](0.00);-"/>
    <x:numFmt numFmtId="203" formatCode="0.0%;[Red](0.0%);-"/>
    <x:numFmt numFmtId="204" formatCode="0"/>
  </x:numFmts>
  <x:fonts count="9">
    <x:font>
      <x:sz val="11"/>
      <x:name val="Carlito"/>
    </x:font>
    <x:font>
      <x:b/>
      <x:sz val="16"/>
      <x:color rgb="111827"/>
      <x:name val="Arial"/>
    </x:font>
    <x:font>
      <x:sz val="10"/>
      <x:color rgb="6B7280"/>
      <x:name val="Arial"/>
    </x:font>
    <x:font>
      <x:b/>
      <x:sz val="10"/>
      <x:color rgb="111827"/>
      <x:name val="Arial"/>
    </x:font>
    <x:font>
      <x:sz val="10"/>
      <x:color rgb="111827"/>
      <x:name val="Arial"/>
    </x:font>
    <x:font>
      <x:sz val="10"/>
      <x:color rgb="0000FF"/>
      <x:name val="Arial"/>
    </x:font>
    <x:font>
      <x:b/>
      <x:sz val="11"/>
      <x:color rgb="111827"/>
      <x:name val="Arial"/>
    </x:font>
    <x:font>
      <x:sz val="10"/>
      <x:color rgb="000000"/>
      <x:name val="Arial"/>
    </x:font>
    <x:font>
      <x:b/>
      <x:sz val="10"/>
      <x:color rgb="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F3F4F6"/>
      </x:patternFill>
    </x:fill>
    <x:fill>
      <x:patternFill patternType="solid">
        <x:fgColor rgb="E8F0F8"/>
      </x:patternFill>
    </x:fill>
    <x:fill>
      <x:patternFill patternType="solid">
        <x:fgColor rgb="FEF3C7"/>
      </x:patternFill>
    </x:fill>
    <x:fill>
      <x:patternFill patternType="solid">
        <x:fgColor rgb="FFF7D6"/>
      </x:patternFill>
    </x:fill>
  </x:fills>
  <x:borders count="4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left" vertical="center"/>
    </x:xf>
    <x:xf numFmtId="201" fontId="6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1" fontId="6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left" vertical="center"/>
    </x:xf>
    <x:xf numFmtId="201" fontId="6" fillId="4" borderId="1" xfId="0" applyNumberFormat="1" applyFont="1" applyFill="1" applyBorder="1" applyAlignment="1">
      <x:alignment horizontal="left"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horizontal="left" vertical="center"/>
    </x:xf>
    <x:xf numFmtId="201" fontId="6" fillId="4" borderId="2" xfId="0" applyNumberFormat="1" applyFont="1" applyFill="1" applyBorder="1" applyAlignment="1">
      <x:alignment horizontal="left" vertical="center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horizontal="left" vertical="center"/>
    </x:xf>
    <x:xf numFmtId="201" fontId="6" fillId="4" borderId="3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1" fontId="7" fillId="5" borderId="1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202" fontId="7" fillId="0" borderId="2" xfId="0" applyNumberFormat="1" applyFont="1" applyFill="1" applyBorder="1" applyAlignment="1">
      <x:alignment vertical="center"/>
    </x:xf>
    <x:xf numFmtId="201" fontId="7" fillId="0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201" fontId="7" fillId="5" borderId="2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1" fontId="7" fillId="5" borderId="3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 wrapText="1"/>
    </x:xf>
    <x:xf numFmtId="202" fontId="7" fillId="0" borderId="2" xfId="0" applyNumberFormat="1" applyFont="1" applyFill="1" applyBorder="1" applyAlignment="1">
      <x:alignment vertical="center" wrapText="1"/>
    </x:xf>
    <x:xf numFmtId="201" fontId="7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1" fontId="7" fillId="5" borderId="2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201" fontId="7" fillId="0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201" fontId="7" fillId="5" borderId="3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203" fontId="7" fillId="5" borderId="0" xfId="0" applyNumberFormat="1" applyFont="1" applyFill="1" applyBorder="1" applyAlignment="1">
      <x:alignment vertical="center"/>
    </x:xf>
    <x:xf numFmtId="203" fontId="7" fillId="5" borderId="1" xfId="0" applyNumberFormat="1" applyFont="1" applyFill="1" applyBorder="1" applyAlignment="1">
      <x:alignment vertical="center"/>
    </x:xf>
    <x:xf numFmtId="203" fontId="7" fillId="0" borderId="2" xfId="0" applyNumberFormat="1" applyFont="1" applyFill="1" applyBorder="1" applyAlignment="1">
      <x:alignment vertical="center"/>
    </x:xf>
    <x:xf numFmtId="203" fontId="7" fillId="5" borderId="2" xfId="0" applyNumberFormat="1" applyFont="1" applyFill="1" applyBorder="1" applyAlignment="1">
      <x:alignment vertical="center"/>
    </x:xf>
    <x:xf numFmtId="203" fontId="7" fillId="0" borderId="3" xfId="0" applyNumberFormat="1" applyFont="1" applyFill="1" applyBorder="1" applyAlignment="1">
      <x:alignment vertical="center"/>
    </x:xf>
    <x:xf numFmtId="203" fontId="7" fillId="5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201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201" fontId="3" fillId="5" borderId="3" xfId="0" applyNumberFormat="1" applyFont="1" applyFill="1" applyBorder="1" applyAlignment="1">
      <x:alignment vertical="center"/>
    </x:xf>
    <x:xf numFmtId="201" fontId="4" fillId="6" borderId="2" xfId="0" applyNumberFormat="1" applyFont="1" applyFill="1" applyBorder="1" applyAlignment="1">
      <x:alignment vertical="center"/>
    </x:xf>
    <x:xf numFmtId="201" fontId="4" fillId="6" borderId="3" xfId="0" applyNumberFormat="1" applyFont="1" applyFill="1" applyBorder="1" applyAlignment="1">
      <x:alignment vertical="center"/>
    </x:xf>
    <x:xf numFmtId="203" fontId="4" fillId="6" borderId="2" xfId="0" applyNumberFormat="1" applyFont="1" applyFill="1" applyBorder="1" applyAlignment="1">
      <x:alignment vertical="center"/>
    </x:xf>
    <x:xf numFmtId="203" fontId="4" fillId="6" borderId="3" xfId="0" applyNumberFormat="1" applyFont="1" applyFill="1" applyBorder="1" applyAlignment="1">
      <x:alignment vertical="center"/>
    </x:xf>
    <x:xf numFmtId="204" fontId="4" fillId="6" borderId="2" xfId="0" applyNumberFormat="1" applyFont="1" applyFill="1" applyBorder="1" applyAlignment="1">
      <x:alignment vertical="center"/>
    </x:xf>
    <x:xf numFmtId="204" fontId="4" fillId="6" borderId="3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2" xfId="0" applyNumberFormat="1" applyFont="1" applyFill="1" applyBorder="1"/>
    <x:xf numFmtId="203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3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7" fillId="0" borderId="0" xfId="0" applyNumberFormat="1" applyFont="1" applyFill="1" applyBorder="1" applyAlignment="1">
      <x:alignment vertical="center"/>
    </x:xf>
    <x:xf numFmtId="204" fontId="7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4" fontId="7" fillId="0" borderId="2" xfId="0" applyNumberFormat="1" applyFont="1" applyFill="1" applyBorder="1" applyAlignment="1">
      <x:alignment vertical="center"/>
    </x:xf>
    <x:xf numFmtId="204" fontId="7" fillId="0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4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8" fillId="4" borderId="2" xfId="0" applyNumberFormat="1" applyFont="1" applyFill="1" applyBorder="1" applyAlignment="1">
      <x:alignment horizontal="left" vertical="center"/>
    </x:xf>
    <x:xf numFmtId="201" fontId="8" fillId="4" borderId="3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c8ba1b4804988" /><Relationship Type="http://schemas.openxmlformats.org/officeDocument/2006/relationships/theme" Target="/xl/theme/theme1.xml" Id="R4bc203e05446457e" /><Relationship Type="http://schemas.openxmlformats.org/officeDocument/2006/relationships/sharedStrings" Target="/xl/sharedStrings.xml" Id="Rd45f867d0f954498" /><Relationship Type="http://schemas.openxmlformats.org/officeDocument/2006/relationships/worksheet" Target="/xl/worksheets/sheet1.xml" Id="Rdc20cef76fb14c07" /><Relationship Type="http://schemas.openxmlformats.org/officeDocument/2006/relationships/worksheet" Target="/xl/worksheets/sheet2.xml" Id="R5183ae38b3c0485b" /><Relationship Type="http://schemas.openxmlformats.org/officeDocument/2006/relationships/worksheet" Target="/xl/worksheets/sheet3.xml" Id="Raaa7726478514dc0" /><Relationship Type="http://schemas.openxmlformats.org/officeDocument/2006/relationships/worksheet" Target="/xl/worksheets/sheet4.xml" Id="R43743163d95a4f13" /><Relationship Type="http://schemas.openxmlformats.org/officeDocument/2006/relationships/worksheet" Target="/xl/worksheets/sheet5.xml" Id="R4566fb2cc7984762" /><Relationship Type="http://schemas.openxmlformats.org/officeDocument/2006/relationships/worksheet" Target="/xl/worksheets/sheet6.xml" Id="R18266e8acee24385" /><Relationship Type="http://schemas.openxmlformats.org/officeDocument/2006/relationships/worksheet" Target="/xl/worksheets/sheet7.xml" Id="R4b00cd8c069346c9" /><Relationship Type="http://schemas.openxmlformats.org/officeDocument/2006/relationships/worksheet" Target="/xl/worksheets/sheet8.xml" Id="R6b52002216ed4806" /><Relationship Type="http://schemas.openxmlformats.org/officeDocument/2006/relationships/worksheet" Target="/xl/worksheets/sheet9.xml" Id="R4ad4c0fcc87c4024" /><Relationship Type="http://schemas.openxmlformats.org/officeDocument/2006/relationships/worksheet" Target="/xl/worksheets/sheet10.xml" Id="Rc2a59c8640b5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6" hidden="0" customWidth="1"/>
    <x:col min="8" max="8" width="50" hidden="0" customWidth="1"/>
    <x:col min="9" max="9" width="8" hidden="0" customWidth="1"/>
  </x:cols>
  <x:sheetData>
    <x:row r="1" ht="26" customHeight="1">
      <x:c r="A1" s="3" t="str">
        <x:v>同等条件下：LaaS 相比能源托管的收益体现在哪里</x:v>
      </x:c>
      <x:c r="B1" s="3"/>
      <x:c r="C1" s="3"/>
      <x:c r="D1" s="3"/>
      <x:c r="E1" s="3"/>
      <x:c r="F1" s="3"/>
      <x:c r="G1" s="3"/>
      <x:c r="H1" s="3"/>
      <x:c r="I1" s="3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本页专门回答：在同样灯具规模、同样电价、同样业主年度付费预算下，LaaS相对能源托管的增量收益来自哪里；同时指出LaaS更高CAPEX和平台成本带来的回报压力。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36" t="str">
        <x:v>同等条件快照</x:v>
      </x:c>
      <x:c r="B4" s="36"/>
      <x:c r="C4" s="36"/>
      <x:c r="D4" s="36"/>
      <x:c r="E4" s="36"/>
      <x:c r="F4" s="36"/>
      <x:c r="G4" s="36"/>
      <x:c r="H4" s="36"/>
      <x:c r="I4" s="36"/>
    </x:row>
    <x:row r="5">
      <x:c r="A5" s="44" t="str">
        <x:v>条件项</x:v>
      </x:c>
      <x:c r="B5" s="44" t="str">
        <x:v>单位</x:v>
      </x:c>
      <x:c r="C5" s="44" t="str">
        <x:v>数值/状态</x:v>
      </x:c>
      <x:c r="D5" s="44" t="str">
        <x:v>说明</x:v>
      </x:c>
      <x:c r="E5" s="44" t="str"/>
      <x:c r="F5" s="44" t="str"/>
      <x:c r="G5" s="44" t="str"/>
      <x:c r="H5" s="44" t="str"/>
      <x:c r="I5" s="44" t="str"/>
    </x:row>
    <x:row r="6">
      <x:c r="A6" s="130" t="str">
        <x:v>灯具数量</x:v>
      </x:c>
      <x:c r="B6" s="130" t="str">
        <x:v>盏</x:v>
      </x:c>
      <x:c r="C6" s="146" t="n">
        <x:f>'03_Baseline'!D5</x:f>
        <x:v>5000</x:v>
      </x:c>
      <x:c r="D6" s="130" t="str">
        <x:v>两种模式一致</x:v>
      </x:c>
      <x:c r="E6" s="130"/>
      <x:c r="F6" s="130"/>
      <x:c r="G6" s="130"/>
      <x:c r="H6" s="130"/>
      <x:c r="I6" s="130"/>
    </x:row>
    <x:row r="7">
      <x:c r="A7" s="130" t="str">
        <x:v>电价</x:v>
      </x:c>
      <x:c r="B7" s="130" t="str">
        <x:v>元/kWh</x:v>
      </x:c>
      <x:c r="C7" s="156" t="n">
        <x:f>'03_Baseline'!D11</x:f>
        <x:v>0.5</x:v>
      </x:c>
      <x:c r="D7" s="130" t="str">
        <x:v>两种模式一致</x:v>
      </x:c>
      <x:c r="E7" s="130"/>
      <x:c r="F7" s="130"/>
      <x:c r="G7" s="130"/>
      <x:c r="H7" s="130"/>
      <x:c r="I7" s="130"/>
    </x:row>
    <x:row r="8">
      <x:c r="A8" s="130" t="str">
        <x:v>基准年电费</x:v>
      </x:c>
      <x:c r="B8" s="130" t="str">
        <x:v>元/年</x:v>
      </x:c>
      <x:c r="C8" s="132" t="n">
        <x:f>'03_Baseline'!D12</x:f>
        <x:v>1505625</x:v>
      </x:c>
      <x:c r="D8" s="130" t="str">
        <x:v>两种模式一致</x:v>
      </x:c>
      <x:c r="E8" s="130"/>
      <x:c r="F8" s="130"/>
      <x:c r="G8" s="130"/>
      <x:c r="H8" s="130"/>
      <x:c r="I8" s="130"/>
    </x:row>
    <x:row r="9">
      <x:c r="A9" s="130" t="str">
        <x:v>基准年运维费</x:v>
      </x:c>
      <x:c r="B9" s="130" t="str">
        <x:v>元/年</x:v>
      </x:c>
      <x:c r="C9" s="132" t="n">
        <x:f>'03_Baseline'!D14</x:f>
        <x:v>500000</x:v>
      </x:c>
      <x:c r="D9" s="130" t="str">
        <x:v>两种模式一致</x:v>
      </x:c>
      <x:c r="E9" s="130"/>
      <x:c r="F9" s="130"/>
      <x:c r="G9" s="130"/>
      <x:c r="H9" s="130"/>
      <x:c r="I9" s="130"/>
    </x:row>
    <x:row r="10">
      <x:c r="A10" s="130" t="str">
        <x:v>业主年度付费预算</x:v>
      </x:c>
      <x:c r="B10" s="130" t="str">
        <x:v>元/年</x:v>
      </x:c>
      <x:c r="C10" s="132" t="n">
        <x:f>'03_Baseline'!D16</x:f>
        <x:v>1000000</x:v>
      </x:c>
      <x:c r="D10" s="130" t="str">
        <x:v>默认两种模式均为100万元/年，可在Inputs修改</x:v>
      </x:c>
      <x:c r="E10" s="130"/>
      <x:c r="F10" s="130"/>
      <x:c r="G10" s="130"/>
      <x:c r="H10" s="130"/>
      <x:c r="I10" s="130"/>
    </x:row>
    <x:row r="11">
      <x:c r="A11" s="130" t="str">
        <x:v>能源托管/LaaS年费是否相同</x:v>
      </x:c>
      <x:c r="B11" s="130" t="str">
        <x:v>TRUE/FALSE</x:v>
      </x:c>
      <x:c r="C11" s="130" t="b">
        <x:f>'04_Mode_Params'!C6='04_Mode_Params'!D6</x:f>
        <x:v>1</x:v>
      </x:c>
      <x:c r="D11" s="130" t="str">
        <x:v>TRUE表示在同样业主付费条件下比较</x:v>
      </x:c>
      <x:c r="E11" s="130"/>
      <x:c r="F11" s="130"/>
      <x:c r="G11" s="130"/>
      <x:c r="H11" s="130"/>
      <x:c r="I11" s="130"/>
    </x:row>
    <x:row r="13">
      <x:c r="A13" s="36" t="str">
        <x:v>LaaS 相对能源托管的增量收益/成本拆解</x:v>
      </x:c>
      <x:c r="B13" s="36"/>
      <x:c r="C13" s="36"/>
      <x:c r="D13" s="36"/>
      <x:c r="E13" s="36"/>
      <x:c r="F13" s="36"/>
      <x:c r="G13" s="36"/>
      <x:c r="H13" s="36"/>
      <x:c r="I13" s="36"/>
    </x:row>
    <x:row r="14">
      <x:c r="A14" s="44" t="str">
        <x:v>维度</x:v>
      </x:c>
      <x:c r="B14" s="44" t="str">
        <x:v>口径</x:v>
      </x:c>
      <x:c r="C14" s="44" t="str">
        <x:v>能源托管/EMC</x:v>
      </x:c>
      <x:c r="D14" s="44" t="str">
        <x:v>LaaS/AI订阅</x:v>
      </x:c>
      <x:c r="E14" s="44" t="str">
        <x:v>LaaS相对增益</x:v>
      </x:c>
      <x:c r="F14" s="44" t="str">
        <x:v>增益归属</x:v>
      </x:c>
      <x:c r="G14" s="44" t="str">
        <x:v>结论</x:v>
      </x:c>
      <x:c r="H14" s="44" t="str">
        <x:v>说明</x:v>
      </x:c>
      <x:c r="I14" s="44" t="str"/>
    </x:row>
    <x:row r="15">
      <x:c r="A15" s="45" t="str">
        <x:v>综合节电率</x:v>
      </x:c>
      <x:c r="B15" s="45" t="str">
        <x:v>越高越好</x:v>
      </x:c>
      <x:c r="C15" s="100" t="n">
        <x:f>'04_Mode_Params'!C8</x:f>
        <x:v>0.5</x:v>
      </x:c>
      <x:c r="D15" s="100" t="n">
        <x:f>'04_Mode_Params'!D8</x:f>
        <x:v>0.58</x:v>
      </x:c>
      <x:c r="E15" s="100" t="n">
        <x:f>D15-C15</x:f>
        <x:v>0.07999999999999996</x:v>
      </x:c>
      <x:c r="F15" s="45" t="str">
        <x:v>业主/承担电费方</x:v>
      </x:c>
      <x:c r="G15" s="152" t="str">
        <x:f>IF(E15&gt;0,"LaaS更优","未体现优势")</x:f>
        <x:v>LaaS更优</x:v>
      </x:c>
      <x:c r="H15" s="60" t="str">
        <x:v>LaaS通过AI调光、异常识别、精细化控制提升节电率。</x:v>
      </x:c>
      <x:c r="I15" s="45"/>
    </x:row>
    <x:row r="16">
      <x:c r="A16" s="45" t="str">
        <x:v>首年节电量</x:v>
      </x:c>
      <x:c r="B16" s="45" t="str">
        <x:v>kWh/年，越高越好</x:v>
      </x:c>
      <x:c r="C16" s="76" t="n">
        <x:f>'03_Baseline'!D10*'04_Mode_Params'!C8</x:f>
        <x:v>1505625</x:v>
      </x:c>
      <x:c r="D16" s="76" t="n">
        <x:f>'03_Baseline'!D10*'04_Mode_Params'!D8</x:f>
        <x:v>1746524.9999999998</x:v>
      </x:c>
      <x:c r="E16" s="76" t="n">
        <x:f>D16-C16</x:f>
        <x:v>240899.99999999977</x:v>
      </x:c>
      <x:c r="F16" s="45" t="str">
        <x:v>业主/承担电费方</x:v>
      </x:c>
      <x:c r="G16" s="152" t="str">
        <x:f>IF(E16&gt;0,"LaaS更优","未体现优势")</x:f>
        <x:v>LaaS更优</x:v>
      </x:c>
      <x:c r="H16" s="60" t="str">
        <x:v>基于现状年用电量×节电率。</x:v>
      </x:c>
      <x:c r="I16" s="45"/>
    </x:row>
    <x:row r="17">
      <x:c r="A17" s="45" t="str">
        <x:v>首年电费节省</x:v>
      </x:c>
      <x:c r="B17" s="45" t="str">
        <x:v>元/年，越高越好</x:v>
      </x:c>
      <x:c r="C17" s="76" t="n">
        <x:f>'03_Baseline'!D12-'04_Mode_Params'!C9</x:f>
        <x:v>752812.5</x:v>
      </x:c>
      <x:c r="D17" s="76" t="n">
        <x:f>'03_Baseline'!D12-'04_Mode_Params'!D9</x:f>
        <x:v>873262.4999999999</x:v>
      </x:c>
      <x:c r="E17" s="76" t="n">
        <x:f>D17-C17</x:f>
        <x:v>120449.99999999988</x:v>
      </x:c>
      <x:c r="F17" s="45" t="str">
        <x:v>业主/承担电费方</x:v>
      </x:c>
      <x:c r="G17" s="152" t="str">
        <x:f>IF(E17&gt;0,"LaaS更优","未体现优势")</x:f>
        <x:v>LaaS更优</x:v>
      </x:c>
      <x:c r="H17" s="60" t="str">
        <x:v>如果业主继续付电费，该收益主要归业主；如果服务商承担电费，该收益归服务商。</x:v>
      </x:c>
      <x:c r="I17" s="45"/>
    </x:row>
    <x:row r="18">
      <x:c r="A18" s="45" t="str">
        <x:v>业主年度总支出</x:v>
      </x:c>
      <x:c r="B18" s="45" t="str">
        <x:v>元/年，越低越好</x:v>
      </x:c>
      <x:c r="C18" s="78" t="n">
        <x:f>'04_Mode_Params'!C19</x:f>
        <x:v>1752812.5</x:v>
      </x:c>
      <x:c r="D18" s="78" t="n">
        <x:f>'04_Mode_Params'!D19</x:f>
        <x:v>1632362.5</x:v>
      </x:c>
      <x:c r="E18" s="78" t="n">
        <x:f>C18-D18</x:f>
        <x:v>120450</x:v>
      </x:c>
      <x:c r="F18" s="45" t="str">
        <x:v>业主</x:v>
      </x:c>
      <x:c r="G18" s="152" t="str">
        <x:f>IF(E18&gt;0,"LaaS让业主少支出",IF(E18&lt;0,"LaaS让业主多支出","相同"))</x:f>
        <x:v>LaaS让业主少支出</x:v>
      </x:c>
      <x:c r="H18" s="60" t="str">
        <x:v>服务费+业主承担电费+保留管理成本。</x:v>
      </x:c>
      <x:c r="I18" s="45"/>
    </x:row>
    <x:row r="19">
      <x:c r="A19" s="45" t="str">
        <x:v>业主年度净节省</x:v>
      </x:c>
      <x:c r="B19" s="45" t="str">
        <x:v>元/年，越高越好</x:v>
      </x:c>
      <x:c r="C19" s="78" t="n">
        <x:f>'04_Mode_Params'!C20</x:f>
        <x:v>252812.5</x:v>
      </x:c>
      <x:c r="D19" s="78" t="n">
        <x:f>'04_Mode_Params'!D20</x:f>
        <x:v>373262.5</x:v>
      </x:c>
      <x:c r="E19" s="78" t="n">
        <x:f>D19-C19</x:f>
        <x:v>120450</x:v>
      </x:c>
      <x:c r="F19" s="45" t="str">
        <x:v>业主</x:v>
      </x:c>
      <x:c r="G19" s="152" t="str">
        <x:f>IF(E19&gt;0,"LaaS让业主多节省",IF(E19&lt;0,"能源托管更多节省","相同"))</x:f>
        <x:v>LaaS让业主多节省</x:v>
      </x:c>
      <x:c r="H19" s="60" t="str">
        <x:v>相对不改造基准总成本。</x:v>
      </x:c>
      <x:c r="I19" s="45"/>
    </x:row>
    <x:row r="20">
      <x:c r="A20" s="45" t="str">
        <x:v>服务商年度收入合计</x:v>
      </x:c>
      <x:c r="B20" s="45" t="str">
        <x:v>元/年，越高越好</x:v>
      </x:c>
      <x:c r="C20" s="78" t="n">
        <x:f>'04_Mode_Params'!C16</x:f>
        <x:v>1000000</x:v>
      </x:c>
      <x:c r="D20" s="78" t="n">
        <x:f>'04_Mode_Params'!D16</x:f>
        <x:v>1000000</x:v>
      </x:c>
      <x:c r="E20" s="78" t="n">
        <x:f>D20-C20</x:f>
        <x:v>0</x:v>
      </x:c>
      <x:c r="F20" s="45" t="str">
        <x:v>服务商</x:v>
      </x:c>
      <x:c r="G20" s="152" t="str">
        <x:f>IF(E20&gt;0,"LaaS收入更高",IF(E20&lt;0,"能源托管收入更高","相同"))</x:f>
        <x:v>相同</x:v>
      </x:c>
      <x:c r="H20" s="60" t="str">
        <x:v>固定服务/订阅费+第三方收入；默认年费相同，收入增量通常来自增值服务。</x:v>
      </x:c>
      <x:c r="I20" s="45"/>
    </x:row>
    <x:row r="21">
      <x:c r="A21" s="45" t="str">
        <x:v>服务商年度现金成本合计</x:v>
      </x:c>
      <x:c r="B21" s="45" t="str">
        <x:v>元/年，越低越好</x:v>
      </x:c>
      <x:c r="C21" s="78" t="n">
        <x:f>'04_Mode_Params'!C17</x:f>
        <x:v>600000</x:v>
      </x:c>
      <x:c r="D21" s="78" t="n">
        <x:f>'04_Mode_Params'!D17</x:f>
        <x:v>800000</x:v>
      </x:c>
      <x:c r="E21" s="78" t="n">
        <x:f>C21-D21</x:f>
        <x:v>-200000</x:v>
      </x:c>
      <x:c r="F21" s="45" t="str">
        <x:v>服务商</x:v>
      </x:c>
      <x:c r="G21" s="152" t="str">
        <x:f>IF(E21&gt;0,"LaaS成本更低",IF(E21&lt;0,"LaaS成本更高","相同"))</x:f>
        <x:v>LaaS成本更高</x:v>
      </x:c>
      <x:c r="H21" s="60" t="str">
        <x:v>LaaS运维可能下降，但平台AI与升级成本通常上升。</x:v>
      </x:c>
      <x:c r="I21" s="45"/>
    </x:row>
    <x:row r="22">
      <x:c r="A22" s="45" t="str">
        <x:v>其中：运维成本</x:v>
      </x:c>
      <x:c r="B22" s="45" t="str">
        <x:v>元/年，越低越好</x:v>
      </x:c>
      <x:c r="C22" s="78" t="n">
        <x:f>'04_Mode_Params'!C13</x:f>
        <x:v>400000</x:v>
      </x:c>
      <x:c r="D22" s="78" t="n">
        <x:f>'04_Mode_Params'!D13</x:f>
        <x:v>300000</x:v>
      </x:c>
      <x:c r="E22" s="78" t="n">
        <x:f>C22-D22</x:f>
        <x:v>100000</x:v>
      </x:c>
      <x:c r="F22" s="45" t="str">
        <x:v>服务商</x:v>
      </x:c>
      <x:c r="G22" s="152" t="str">
        <x:f>IF(E22&gt;0,"LaaS运维省钱",IF(E22&lt;0,"LaaS运维更贵","相同"))</x:f>
        <x:v>LaaS运维省钱</x:v>
      </x:c>
      <x:c r="H22" s="60" t="str">
        <x:v>LaaS通过远程诊断、工单系统、预测性维护降低人工巡检与抢修。</x:v>
      </x:c>
      <x:c r="I22" s="45"/>
    </x:row>
    <x:row r="23">
      <x:c r="A23" s="45" t="str">
        <x:v>其中：平台/升级成本</x:v>
      </x:c>
      <x:c r="B23" s="45" t="str">
        <x:v>元/年，越低越好</x:v>
      </x:c>
      <x:c r="C23" s="78" t="n">
        <x:f>'04_Mode_Params'!C14+'04_Mode_Params'!C15</x:f>
        <x:v>200000</x:v>
      </x:c>
      <x:c r="D23" s="78" t="n">
        <x:f>'04_Mode_Params'!D14+'04_Mode_Params'!D15</x:f>
        <x:v>500000</x:v>
      </x:c>
      <x:c r="E23" s="78" t="n">
        <x:f>C23-D23</x:f>
        <x:v>-300000</x:v>
      </x:c>
      <x:c r="F23" s="45" t="str">
        <x:v>服务商</x:v>
      </x:c>
      <x:c r="G23" s="152" t="str">
        <x:f>IF(E23&gt;0,"LaaS平台/升级成本更低",IF(E23&lt;0,"LaaS平台/升级成本更高","相同"))</x:f>
        <x:v>LaaS平台/升级成本更高</x:v>
      </x:c>
      <x:c r="H23" s="60" t="str">
        <x:v>LaaS通常更高，这是其商业模型必须覆盖的成本。</x:v>
      </x:c>
      <x:c r="I23" s="45"/>
    </x:row>
    <x:row r="24">
      <x:c r="A24" s="45" t="str">
        <x:v>服务商年度净经营现金流</x:v>
      </x:c>
      <x:c r="B24" s="45" t="str">
        <x:v>元/年，越高越好</x:v>
      </x:c>
      <x:c r="C24" s="78" t="n">
        <x:f>'04_Mode_Params'!C18</x:f>
        <x:v>400000</x:v>
      </x:c>
      <x:c r="D24" s="78" t="n">
        <x:f>'04_Mode_Params'!D18</x:f>
        <x:v>200000</x:v>
      </x:c>
      <x:c r="E24" s="78" t="n">
        <x:f>D24-C24</x:f>
        <x:v>-200000</x:v>
      </x:c>
      <x:c r="F24" s="45" t="str">
        <x:v>服务商</x:v>
      </x:c>
      <x:c r="G24" s="152" t="str">
        <x:f>IF(E24&gt;0,"LaaS经营现金流更高",IF(E24&lt;0,"能源托管经营现金流更高","相同"))</x:f>
        <x:v>能源托管经营现金流更高</x:v>
      </x:c>
      <x:c r="H24" s="60" t="str">
        <x:v>收入合计−年度现金成本，不含Y0 CAPEX。</x:v>
      </x:c>
      <x:c r="I24" s="45"/>
    </x:row>
    <x:row r="25">
      <x:c r="A25" s="45" t="str">
        <x:v>初始CAPEX总额</x:v>
      </x:c>
      <x:c r="B25" s="45" t="str">
        <x:v>元，越低越好</x:v>
      </x:c>
      <x:c r="C25" s="78" t="n">
        <x:f>'04_Mode_Params'!C5</x:f>
        <x:v>5000000</x:v>
      </x:c>
      <x:c r="D25" s="78" t="n">
        <x:f>'04_Mode_Params'!D5</x:f>
        <x:v>6900000</x:v>
      </x:c>
      <x:c r="E25" s="78" t="n">
        <x:f>C25-D25</x:f>
        <x:v>-1900000</x:v>
      </x:c>
      <x:c r="F25" s="45" t="str">
        <x:v>服务商/资方</x:v>
      </x:c>
      <x:c r="G25" s="152" t="str">
        <x:f>IF(E25&gt;0,"LaaS初始投资更低",IF(E25&lt;0,"LaaS初始投资更高","相同"))</x:f>
        <x:v>LaaS初始投资更高</x:v>
      </x:c>
      <x:c r="H25" s="60" t="str">
        <x:v>LaaS硬件与平台配置更高时，CAPEX劣势会拖累回收。</x:v>
      </x:c>
      <x:c r="I25" s="45"/>
    </x:row>
    <x:row r="26">
      <x:c r="A26" s="45" t="str">
        <x:v>10年累计净现金流</x:v>
      </x:c>
      <x:c r="B26" s="45" t="str">
        <x:v>元，越高越好</x:v>
      </x:c>
      <x:c r="C26" s="78" t="n">
        <x:f>'05_Annual_Model'!M24</x:f>
        <x:v>-1000000</x:v>
      </x:c>
      <x:c r="D26" s="78" t="n">
        <x:f>'05_Annual_Model'!M51</x:f>
        <x:v>-4900000</x:v>
      </x:c>
      <x:c r="E26" s="78" t="n">
        <x:f>D26-C26</x:f>
        <x:v>-3900000</x:v>
      </x:c>
      <x:c r="F26" s="45" t="str">
        <x:v>服务商/资方</x:v>
      </x:c>
      <x:c r="G26" s="152" t="str">
        <x:f>IF(E26&gt;0,"LaaS累计现金流更好",IF(E26&lt;0,"能源托管累计现金流更好","相同"))</x:f>
        <x:v>能源托管累计现金流更好</x:v>
      </x:c>
      <x:c r="H26" s="60" t="str">
        <x:v>含Y0 CAPEX，是服务商是否回本的硬指标。</x:v>
      </x:c>
      <x:c r="I26" s="45"/>
    </x:row>
    <x:row r="27">
      <x:c r="A27" s="45" t="str">
        <x:v>NPV</x:v>
      </x:c>
      <x:c r="B27" s="45" t="str">
        <x:v>元，越高越好</x:v>
      </x:c>
      <x:c r="C27" s="78" t="n">
        <x:f>'05_Annual_Model'!C25</x:f>
        <x:v>-2315967.4404234234</x:v>
      </x:c>
      <x:c r="D27" s="78" t="n">
        <x:f>'05_Annual_Model'!C52</x:f>
        <x:v>-5557983.720211712</x:v>
      </x:c>
      <x:c r="E27" s="78" t="n">
        <x:f>D27-C27</x:f>
        <x:v>-3242016.2797882883</x:v>
      </x:c>
      <x:c r="F27" s="45" t="str">
        <x:v>服务商/资方</x:v>
      </x:c>
      <x:c r="G27" s="152" t="str">
        <x:f>IF(E27&gt;0,"LaaS NPV更好",IF(E27&lt;0,"能源托管NPV更好","相同"))</x:f>
        <x:v>能源托管NPV更好</x:v>
      </x:c>
      <x:c r="H27" s="60" t="str">
        <x:v>折现后判断是否达到资金成本要求。</x:v>
      </x:c>
      <x:c r="I27" s="45"/>
    </x:row>
    <x:row r="28">
      <x:c r="A28" s="45" t="str">
        <x:v>IRR</x:v>
      </x:c>
      <x:c r="B28" s="45" t="str">
        <x:v>%，越高越好</x:v>
      </x:c>
      <x:c r="C28" s="100" t="n">
        <x:f>'05_Annual_Model'!C26</x:f>
        <x:v>-0.03864190525167781</x:v>
      </x:c>
      <x:c r="D28" s="100" t="n">
        <x:f>'05_Annual_Model'!C53</x:f>
        <x:v>-0.17877616020938114</x:v>
      </x:c>
      <x:c r="E28" s="100" t="n">
        <x:f>D28-C28</x:f>
        <x:v>-0.14013425495770332</x:v>
      </x:c>
      <x:c r="F28" s="45" t="str">
        <x:v>服务商/资方</x:v>
      </x:c>
      <x:c r="G28" s="152" t="str">
        <x:f>IF(E28&gt;0,"LaaS IRR更高",IF(E28&lt;0,"能源托管IRR更高","相同"))</x:f>
        <x:v>能源托管IRR更高</x:v>
      </x:c>
      <x:c r="H28" s="60" t="str">
        <x:v>与资金成本比较。</x:v>
      </x:c>
      <x:c r="I28" s="45"/>
    </x:row>
    <x:row r="29">
      <x:c r="A29" s="45" t="str">
        <x:v>NPV=0所需年费</x:v>
      </x:c>
      <x:c r="B29" s="45" t="str">
        <x:v>元/年，越低越好</x:v>
      </x:c>
      <x:c r="C29" s="78" t="n">
        <x:f>'06_Sensitivity'!C5</x:f>
        <x:v>1345147.443485377</x:v>
      </x:c>
      <x:c r="D29" s="78" t="n">
        <x:f>'06_Sensitivity'!C6</x:f>
        <x:v>1828303.47200982</x:v>
      </x:c>
      <x:c r="E29" s="78" t="n">
        <x:f>C29-D29</x:f>
        <x:v>-483156.02852444304</x:v>
      </x:c>
      <x:c r="F29" s="45" t="str">
        <x:v>服务商/业主谈判</x:v>
      </x:c>
      <x:c r="G29" s="152" t="str">
        <x:f>IF(E29&gt;0,"LaaS所需年费更低",IF(E29&lt;0,"LaaS所需年费更高","相同"))</x:f>
        <x:v>LaaS所需年费更高</x:v>
      </x:c>
      <x:c r="H29" s="60" t="str">
        <x:v>若LaaS所需年费更高，需要用增值收益、资产转让或降本补齐。</x:v>
      </x:c>
      <x:c r="I29" s="45"/>
    </x:row>
    <x:row r="31">
      <x:c r="A31" s="36" t="str">
        <x:v>结论框架</x:v>
      </x:c>
      <x:c r="B31" s="36"/>
      <x:c r="C31" s="36"/>
      <x:c r="D31" s="36"/>
      <x:c r="E31" s="36"/>
      <x:c r="F31" s="36"/>
      <x:c r="G31" s="36"/>
      <x:c r="H31" s="36"/>
      <x:c r="I31" s="36"/>
    </x:row>
    <x:row r="32">
      <x:c r="A32" s="152" t="str">
        <x:v>业主侧结论</x:v>
      </x:c>
      <x:c r="B32" s="60"/>
      <x:c r="C32" s="60"/>
      <x:c r="D32" s="60"/>
      <x:c r="E32" s="60"/>
      <x:c r="F32" s="60"/>
      <x:c r="G32" s="60"/>
      <x:c r="H32" s="60"/>
      <x:c r="I32" s="60"/>
    </x:row>
    <x:row r="33">
      <x:c r="A33" s="152" t="str"/>
      <x:c r="B33" s="60" t="str">
        <x:v>LaaS是否更适合业主，核心看“业主年度总支出是否更低、净节省是否更高”。默认假设下，LaaS因节电率更高，业主侧节省通常更明显。</x:v>
      </x:c>
      <x:c r="C33" s="60" t="str"/>
      <x:c r="D33" s="60" t="str"/>
      <x:c r="E33" s="60" t="str"/>
      <x:c r="F33" s="60" t="str"/>
      <x:c r="G33" s="60" t="str"/>
      <x:c r="H33" s="60" t="str"/>
      <x:c r="I33" s="60" t="str"/>
    </x:row>
    <x:row r="34">
      <x:c r="A34" s="152" t="str">
        <x:v>服务商侧结论</x:v>
      </x:c>
      <x:c r="B34" s="60"/>
      <x:c r="C34" s="60"/>
      <x:c r="D34" s="60"/>
      <x:c r="E34" s="60"/>
      <x:c r="F34" s="60"/>
      <x:c r="G34" s="60"/>
      <x:c r="H34" s="60"/>
      <x:c r="I34" s="60"/>
    </x:row>
    <x:row r="35">
      <x:c r="A35" s="152" t="str"/>
      <x:c r="B35" s="60" t="str">
        <x:v>LaaS的运维成本可能下降，但更高CAPEX、平台AI成本和升级储备会稀释收益。若年费同为100万元，必须检查NPV、IRR和10年累计现金流是否能覆盖投资。</x:v>
      </x:c>
      <x:c r="C35" s="60" t="str"/>
      <x:c r="D35" s="60" t="str"/>
      <x:c r="E35" s="60" t="str"/>
      <x:c r="F35" s="60" t="str"/>
      <x:c r="G35" s="60" t="str"/>
      <x:c r="H35" s="60" t="str"/>
      <x:c r="I35" s="60" t="str"/>
    </x:row>
  </x:sheetData>
  <x:mergeCells>
    <x:mergeCell ref="A1:I1"/>
    <x:mergeCell ref="A2:I2"/>
    <x:mergeCell ref="A4:I4"/>
    <x:mergeCell ref="A13:I13"/>
    <x:mergeCell ref="A31:I31"/>
    <x:mergeCell ref="B32:I32"/>
    <x:mergeCell ref="B33:I33"/>
    <x:mergeCell ref="B34:I34"/>
    <x:mergeCell ref="B35:I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50" hidden="0" customWidth="1"/>
    <x:col min="8" max="8" width="8" hidden="0" customWidth="1"/>
    <x:col min="9" max="9" width="8" hidden="0" customWidth="1"/>
    <x:col min="10" max="10" width="8" hidden="0" customWidth="1"/>
  </x:cols>
  <x:sheetData>
    <x:row r="1" ht="26" customHeight="1">
      <x:c r="A1" s="3" t="str">
        <x:v>通用版财务模型｜能源托管 vs LaaS/AI订阅</x:v>
      </x:c>
      <x:c r="B1" s="3"/>
      <x:c r="C1" s="3"/>
      <x:c r="D1" s="3"/>
      <x:c r="E1" s="3"/>
      <x:c r="F1" s="3"/>
      <x:c r="G1" s="3"/>
      <x:c r="H1" s="3"/>
      <x:c r="I1" s="3"/>
      <x:c r="J1" s="3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先看 00_LaaS收益来源 判断Laas增量价值，再到本页看双方核心财务指标。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50" t="str">
        <x:v>项目基准</x:v>
      </x:c>
      <x:c r="B4" s="50"/>
      <x:c r="C4" s="50"/>
      <x:c r="D4" s="50"/>
    </x:row>
    <x:row r="5">
      <x:c r="A5" s="130" t="str">
        <x:v>灯具数量</x:v>
      </x:c>
      <x:c r="B5" s="130" t="str">
        <x:v>盏</x:v>
      </x:c>
      <x:c r="C5" s="146" t="n">
        <x:f>'03_Baseline'!D5</x:f>
        <x:v>5000</x:v>
      </x:c>
      <x:c r="D5" s="130" t="str"/>
    </x:row>
    <x:row r="6">
      <x:c r="A6" s="130" t="str">
        <x:v>基准年电费</x:v>
      </x:c>
      <x:c r="B6" s="130" t="str">
        <x:v>元/年</x:v>
      </x:c>
      <x:c r="C6" s="132" t="n">
        <x:f>'03_Baseline'!D12</x:f>
        <x:v>1505625</x:v>
      </x:c>
      <x:c r="D6" s="130" t="str"/>
    </x:row>
    <x:row r="7">
      <x:c r="A7" s="130" t="str">
        <x:v>基准年运维费</x:v>
      </x:c>
      <x:c r="B7" s="130" t="str">
        <x:v>元/年</x:v>
      </x:c>
      <x:c r="C7" s="132" t="n">
        <x:f>'03_Baseline'!D14</x:f>
        <x:v>500000</x:v>
      </x:c>
      <x:c r="D7" s="130" t="str"/>
    </x:row>
    <x:row r="8">
      <x:c r="A8" s="130" t="str">
        <x:v>基准年总成本</x:v>
      </x:c>
      <x:c r="B8" s="130" t="str">
        <x:v>元/年</x:v>
      </x:c>
      <x:c r="C8" s="132" t="n">
        <x:f>'03_Baseline'!D15</x:f>
        <x:v>2005625</x:v>
      </x:c>
      <x:c r="D8" s="130" t="str"/>
    </x:row>
    <x:row r="9">
      <x:c r="A9" s="130" t="str">
        <x:v>业主10年预算总额</x:v>
      </x:c>
      <x:c r="B9" s="130" t="str">
        <x:v>元</x:v>
      </x:c>
      <x:c r="C9" s="132" t="n">
        <x:f>'03_Baseline'!D17</x:f>
        <x:v>10000000</x:v>
      </x:c>
      <x:c r="D9" s="130" t="str"/>
    </x:row>
    <x:row r="10">
      <x:c r="A10" s="130" t="str">
        <x:v>10年不改造总成本</x:v>
      </x:c>
      <x:c r="B10" s="130" t="str">
        <x:v>元</x:v>
      </x:c>
      <x:c r="C10" s="132" t="n">
        <x:f>'03_Baseline'!D18</x:f>
        <x:v>20056250</x:v>
      </x:c>
      <x:c r="D10" s="130" t="str"/>
    </x:row>
    <x:row r="12">
      <x:c r="A12" s="36" t="str">
        <x:v>两种模式核心结果</x:v>
      </x:c>
      <x:c r="B12" s="36"/>
      <x:c r="C12" s="36"/>
      <x:c r="D12" s="36"/>
      <x:c r="E12" s="36"/>
      <x:c r="F12" s="36"/>
      <x:c r="G12" s="36"/>
      <x:c r="H12" s="36"/>
      <x:c r="I12" s="36"/>
      <x:c r="J12" s="36"/>
    </x:row>
    <x:row r="13">
      <x:c r="A13" s="44" t="str">
        <x:v>指标</x:v>
      </x:c>
      <x:c r="B13" s="44" t="str">
        <x:v>单位</x:v>
      </x:c>
      <x:c r="C13" s="44" t="str">
        <x:v>能源托管/EMC</x:v>
      </x:c>
      <x:c r="D13" s="44" t="str">
        <x:v>LaaS/AI订阅</x:v>
      </x:c>
      <x:c r="E13" s="44" t="str">
        <x:v>LaaS相对差异</x:v>
      </x:c>
      <x:c r="F13" s="44" t="str">
        <x:v>判断</x:v>
      </x:c>
      <x:c r="G13" s="44" t="str">
        <x:v>说明</x:v>
      </x:c>
      <x:c r="H13" s="12" t="str"/>
      <x:c r="I13" s="12" t="str"/>
      <x:c r="J13" s="12" t="str"/>
    </x:row>
    <x:row r="14">
      <x:c r="A14" s="45" t="str">
        <x:v>初始CAPEX总额</x:v>
      </x:c>
      <x:c r="B14" s="45" t="str">
        <x:v>元</x:v>
      </x:c>
      <x:c r="C14" s="78" t="n">
        <x:f>'04_Mode_Params'!C5</x:f>
        <x:v>5000000</x:v>
      </x:c>
      <x:c r="D14" s="78" t="n">
        <x:f>'04_Mode_Params'!D5</x:f>
        <x:v>6900000</x:v>
      </x:c>
      <x:c r="E14" s="78" t="n">
        <x:f>C14-D14</x:f>
        <x:v>-1900000</x:v>
      </x:c>
      <x:c r="F14" s="45" t="str">
        <x:f>IF(E14&gt;0,"LaaS更优/成本更低",IF(E14&lt;0,"能源托管更优/成本更低","相同"))</x:f>
        <x:v>能源托管更优/成本更低</x:v>
      </x:c>
      <x:c r="G14" s="45" t="str">
        <x:v>服务商Y0投入，越低越容易回本</x:v>
      </x:c>
    </x:row>
    <x:row r="15">
      <x:c r="A15" s="45" t="str">
        <x:v>服务商年度收入合计</x:v>
      </x:c>
      <x:c r="B15" s="45" t="str">
        <x:v>元/年</x:v>
      </x:c>
      <x:c r="C15" s="78" t="n">
        <x:f>'04_Mode_Params'!C16</x:f>
        <x:v>1000000</x:v>
      </x:c>
      <x:c r="D15" s="78" t="n">
        <x:f>'04_Mode_Params'!D16</x:f>
        <x:v>1000000</x:v>
      </x:c>
      <x:c r="E15" s="78" t="n">
        <x:f>D15-C15</x:f>
        <x:v>0</x:v>
      </x:c>
      <x:c r="F15" s="45" t="str">
        <x:f>IF(E15&gt;0,"LaaS更高",IF(E15&lt;0,"能源托管更高","相同"))</x:f>
        <x:v>相同</x:v>
      </x:c>
      <x:c r="G15" s="45" t="str">
        <x:v>服务费/订阅费+其他第三方收入</x:v>
      </x:c>
    </x:row>
    <x:row r="16">
      <x:c r="A16" s="45" t="str">
        <x:v>服务商年度现金成本合计</x:v>
      </x:c>
      <x:c r="B16" s="45" t="str">
        <x:v>元/年</x:v>
      </x:c>
      <x:c r="C16" s="78" t="n">
        <x:f>'04_Mode_Params'!C17</x:f>
        <x:v>600000</x:v>
      </x:c>
      <x:c r="D16" s="78" t="n">
        <x:f>'04_Mode_Params'!D17</x:f>
        <x:v>800000</x:v>
      </x:c>
      <x:c r="E16" s="78" t="n">
        <x:f>C16-D16</x:f>
        <x:v>-200000</x:v>
      </x:c>
      <x:c r="F16" s="45" t="str">
        <x:f>IF(E16&gt;0,"LaaS更优/成本更低",IF(E16&lt;0,"能源托管更优/成本更低","相同"))</x:f>
        <x:v>能源托管更优/成本更低</x:v>
      </x:c>
      <x:c r="G16" s="45" t="str">
        <x:v>电费成本+运维+平台+备件，不含CAPEX</x:v>
      </x:c>
    </x:row>
    <x:row r="17">
      <x:c r="A17" s="45" t="str">
        <x:v>服务商年度净经营现金流</x:v>
      </x:c>
      <x:c r="B17" s="45" t="str">
        <x:v>元/年</x:v>
      </x:c>
      <x:c r="C17" s="78" t="n">
        <x:f>'04_Mode_Params'!C18</x:f>
        <x:v>400000</x:v>
      </x:c>
      <x:c r="D17" s="78" t="n">
        <x:f>'04_Mode_Params'!D18</x:f>
        <x:v>200000</x:v>
      </x:c>
      <x:c r="E17" s="78" t="n">
        <x:f>D17-C17</x:f>
        <x:v>-200000</x:v>
      </x:c>
      <x:c r="F17" s="45" t="str">
        <x:f>IF(E17&gt;0,"LaaS更高",IF(E17&lt;0,"能源托管更高","相同"))</x:f>
        <x:v>能源托管更高</x:v>
      </x:c>
      <x:c r="G17" s="45" t="str">
        <x:v>年度收入−年度现金成本，不含Y0 CAPEX</x:v>
      </x:c>
    </x:row>
    <x:row r="18">
      <x:c r="A18" s="45" t="str">
        <x:v>10年累计净现金流</x:v>
      </x:c>
      <x:c r="B18" s="45" t="str">
        <x:v>元</x:v>
      </x:c>
      <x:c r="C18" s="78" t="n">
        <x:f>'05_Annual_Model'!M24</x:f>
        <x:v>-1000000</x:v>
      </x:c>
      <x:c r="D18" s="78" t="n">
        <x:f>'05_Annual_Model'!M51</x:f>
        <x:v>-4900000</x:v>
      </x:c>
      <x:c r="E18" s="78" t="n">
        <x:f>D18-C18</x:f>
        <x:v>-3900000</x:v>
      </x:c>
      <x:c r="F18" s="45" t="str">
        <x:f>IF(E18&gt;0,"LaaS更高",IF(E18&lt;0,"能源托管更高","相同"))</x:f>
        <x:v>能源托管更高</x:v>
      </x:c>
      <x:c r="G18" s="45" t="str">
        <x:v>含Y0 CAPEX</x:v>
      </x:c>
    </x:row>
    <x:row r="19">
      <x:c r="A19" s="45" t="str">
        <x:v>NPV</x:v>
      </x:c>
      <x:c r="B19" s="45" t="str">
        <x:v>元</x:v>
      </x:c>
      <x:c r="C19" s="78" t="n">
        <x:f>'05_Annual_Model'!C25</x:f>
        <x:v>-2315967.4404234234</x:v>
      </x:c>
      <x:c r="D19" s="78" t="n">
        <x:f>'05_Annual_Model'!C52</x:f>
        <x:v>-5557983.720211712</x:v>
      </x:c>
      <x:c r="E19" s="78" t="n">
        <x:f>D19-C19</x:f>
        <x:v>-3242016.2797882883</x:v>
      </x:c>
      <x:c r="F19" s="45" t="str">
        <x:f>IF(E19&gt;0,"LaaS更高",IF(E19&lt;0,"能源托管更高","相同"))</x:f>
        <x:v>能源托管更高</x:v>
      </x:c>
      <x:c r="G19" s="45" t="str">
        <x:v>折现率来自Inputs</x:v>
      </x:c>
    </x:row>
    <x:row r="20">
      <x:c r="A20" s="45" t="str">
        <x:v>IRR</x:v>
      </x:c>
      <x:c r="B20" s="45" t="str">
        <x:v>%</x:v>
      </x:c>
      <x:c r="C20" s="78" t="n">
        <x:f>'05_Annual_Model'!C26</x:f>
        <x:v>-0.03864190525167781</x:v>
      </x:c>
      <x:c r="D20" s="78" t="n">
        <x:f>'05_Annual_Model'!C53</x:f>
        <x:v>-0.17877616020938114</x:v>
      </x:c>
      <x:c r="E20" s="78" t="n">
        <x:f>D20-C20</x:f>
        <x:v>-0.14013425495770332</x:v>
      </x:c>
      <x:c r="F20" s="45" t="str">
        <x:f>IF(E20&gt;0,"LaaS更高",IF(E20&lt;0,"能源托管更高","相同"))</x:f>
        <x:v>能源托管更高</x:v>
      </x:c>
      <x:c r="G20" s="45" t="str">
        <x:v>服务商项目内部收益率</x:v>
      </x:c>
    </x:row>
    <x:row r="21">
      <x:c r="A21" s="45" t="str">
        <x:v>10年ROI</x:v>
      </x:c>
      <x:c r="B21" s="45" t="str">
        <x:v>%</x:v>
      </x:c>
      <x:c r="C21" s="100" t="n">
        <x:f>'05_Annual_Model'!C27</x:f>
        <x:v>-0.2</x:v>
      </x:c>
      <x:c r="D21" s="100" t="n">
        <x:f>'05_Annual_Model'!C54</x:f>
        <x:v>-0.7101449275362319</x:v>
      </x:c>
      <x:c r="E21" s="100" t="n">
        <x:f>D21-C21</x:f>
        <x:v>-0.510144927536232</x:v>
      </x:c>
      <x:c r="F21" s="45" t="str">
        <x:f>IF(E21&gt;0,"LaaS更高",IF(E21&lt;0,"能源托管更高","相同"))</x:f>
        <x:v>能源托管更高</x:v>
      </x:c>
      <x:c r="G21" s="45" t="str">
        <x:v>10年累计净现金流÷初始CAPEX</x:v>
      </x:c>
    </x:row>
    <x:row r="22">
      <x:c r="A22" s="45" t="str">
        <x:v>静态回收期</x:v>
      </x:c>
      <x:c r="B22" s="45" t="str">
        <x:v>年</x:v>
      </x:c>
      <x:c r="C22" s="148" t="str">
        <x:f>'05_Annual_Model'!C28</x:f>
        <x:v>未回收</x:v>
      </x:c>
      <x:c r="D22" s="148" t="str">
        <x:f>'05_Annual_Model'!C55</x:f>
        <x:v>未回收</x:v>
      </x:c>
      <x:c r="E22" s="148" t="str">
        <x:f>IF(OR(C22="未回收",D22="未回收"),"看回收状态",C22-D22)</x:f>
        <x:v>看回收状态</x:v>
      </x:c>
      <x:c r="F22" s="45" t="str">
        <x:f>IF(D22=C22,"相同",IF(D22="未回收","能源托管回收更好",IF(C22="未回收","LaaS回收更好",IF(D22&lt;C22,"LaaS回收更快","能源托管回收更快"))))</x:f>
        <x:v>相同</x:v>
      </x:c>
      <x:c r="G22" s="45" t="str">
        <x:v>累计现金流首次转正年份</x:v>
      </x:c>
    </x:row>
    <x:row r="23">
      <x:c r="A23" s="45" t="str">
        <x:v>业主年度总支出</x:v>
      </x:c>
      <x:c r="B23" s="45" t="str">
        <x:v>元/年</x:v>
      </x:c>
      <x:c r="C23" s="78" t="n">
        <x:f>'04_Mode_Params'!C19</x:f>
        <x:v>1752812.5</x:v>
      </x:c>
      <x:c r="D23" s="78" t="n">
        <x:f>'04_Mode_Params'!D19</x:f>
        <x:v>1632362.5</x:v>
      </x:c>
      <x:c r="E23" s="78" t="n">
        <x:f>C23-D23</x:f>
        <x:v>120450</x:v>
      </x:c>
      <x:c r="F23" s="45" t="str">
        <x:f>IF(E23&gt;0,"LaaS更优/成本更低",IF(E23&lt;0,"能源托管更优/成本更低","相同"))</x:f>
        <x:v>LaaS更优/成本更低</x:v>
      </x:c>
      <x:c r="G23" s="45" t="str">
        <x:v>业主支付电费+服务费+保留管理成本</x:v>
      </x:c>
    </x:row>
    <x:row r="24">
      <x:c r="A24" s="45" t="str">
        <x:v>业主年度净节省</x:v>
      </x:c>
      <x:c r="B24" s="45" t="str">
        <x:v>元/年</x:v>
      </x:c>
      <x:c r="C24" s="78" t="n">
        <x:f>'04_Mode_Params'!C20</x:f>
        <x:v>252812.5</x:v>
      </x:c>
      <x:c r="D24" s="78" t="n">
        <x:f>'04_Mode_Params'!D20</x:f>
        <x:v>373262.5</x:v>
      </x:c>
      <x:c r="E24" s="78" t="n">
        <x:f>D24-C24</x:f>
        <x:v>120450</x:v>
      </x:c>
      <x:c r="F24" s="45" t="str">
        <x:f>IF(E24&gt;0,"LaaS更高",IF(E24&lt;0,"能源托管更高","相同"))</x:f>
        <x:v>LaaS更高</x:v>
      </x:c>
      <x:c r="G24" s="45" t="str">
        <x:v>相对不改造情形</x:v>
      </x:c>
    </x:row>
    <x:row r="25">
      <x:c r="A25" s="45" t="str">
        <x:v>业主节省率</x:v>
      </x:c>
      <x:c r="B25" s="45" t="str">
        <x:v>%</x:v>
      </x:c>
      <x:c r="C25" s="100" t="n">
        <x:f>'04_Mode_Params'!C21</x:f>
        <x:v>0.12605172951075103</x:v>
      </x:c>
      <x:c r="D25" s="100" t="n">
        <x:f>'04_Mode_Params'!D21</x:f>
        <x:v>0.1861078217513244</x:v>
      </x:c>
      <x:c r="E25" s="100" t="n">
        <x:f>D25-C25</x:f>
        <x:v>0.06005609224057337</x:v>
      </x:c>
      <x:c r="F25" s="45" t="str">
        <x:f>IF(E25&gt;0,"LaaS更高",IF(E25&lt;0,"能源托管更高","相同"))</x:f>
        <x:v>LaaS更高</x:v>
      </x:c>
      <x:c r="G25" s="45" t="str">
        <x:v>业主净节省÷基准年总成本</x:v>
      </x:c>
    </x:row>
    <x:row r="26">
      <x:c r="A26" s="45" t="str">
        <x:v>NPV=0所需年费</x:v>
      </x:c>
      <x:c r="B26" s="45" t="str">
        <x:v>元/年</x:v>
      </x:c>
      <x:c r="C26" s="78" t="n">
        <x:f>'06_Sensitivity'!C5</x:f>
        <x:v>1345147.443485377</x:v>
      </x:c>
      <x:c r="D26" s="78" t="n">
        <x:f>'06_Sensitivity'!C6</x:f>
        <x:v>1828303.47200982</x:v>
      </x:c>
      <x:c r="E26" s="78" t="n">
        <x:f>C26-D26</x:f>
        <x:v>-483156.02852444304</x:v>
      </x:c>
      <x:c r="F26" s="45" t="str">
        <x:f>IF(E26&gt;0,"LaaS更优/成本更低",IF(E26&lt;0,"能源托管更优/成本更低","相同"))</x:f>
        <x:v>能源托管更优/成本更低</x:v>
      </x:c>
      <x:c r="G26" s="45" t="str">
        <x:v>服务商达到折现率要求的参考底价</x:v>
      </x:c>
    </x:row>
    <x:row r="28">
      <x:c r="A28" s="36" t="str">
        <x:v>读法提示</x:v>
      </x:c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>
      <x:c r="A29" s="45" t="str">
        <x:v>1</x:v>
      </x:c>
      <x:c r="B29" s="152" t="str">
        <x:v>业主侧先看“业主年度总支出”是否低于基准年总成本。服务费不是业主收入，而是业主支出。</x:v>
      </x:c>
      <x:c r="C29" s="60" t="str"/>
      <x:c r="D29" s="60" t="str"/>
      <x:c r="E29" s="60" t="str"/>
      <x:c r="F29" s="60" t="str"/>
      <x:c r="G29" s="60" t="str"/>
      <x:c r="H29" s="60" t="str"/>
      <x:c r="I29" s="60" t="str"/>
      <x:c r="J29" s="60" t="str"/>
    </x:row>
    <x:row r="30">
      <x:c r="A30" s="45" t="str">
        <x:v>2</x:v>
      </x:c>
      <x:c r="B30" s="152" t="str">
        <x:v>服务商侧先看“年度净经营现金流”是否能覆盖Y0 CAPEX；如果10年累计现金流仍为负，则年费/成本/CAPEX结构需要重做。</x:v>
      </x:c>
      <x:c r="C30" s="60" t="str"/>
      <x:c r="D30" s="60" t="str"/>
      <x:c r="E30" s="60" t="str"/>
      <x:c r="F30" s="60" t="str"/>
      <x:c r="G30" s="60" t="str"/>
      <x:c r="H30" s="60" t="str"/>
      <x:c r="I30" s="60" t="str"/>
      <x:c r="J30" s="60" t="str"/>
    </x:row>
    <x:row r="31">
      <x:c r="A31" s="45" t="str">
        <x:v>3</x:v>
      </x:c>
      <x:c r="B31" s="152" t="str">
        <x:v>Laas的优势不应只看节电率，还要看运维成本下降、持续升级能力、增值收入和客户黏性；但这些优势必须覆盖更高CAPEX和平台成本。</x:v>
      </x:c>
      <x:c r="C31" s="60" t="str"/>
      <x:c r="D31" s="60" t="str"/>
      <x:c r="E31" s="60" t="str"/>
      <x:c r="F31" s="60" t="str"/>
      <x:c r="G31" s="60" t="str"/>
      <x:c r="H31" s="60" t="str"/>
      <x:c r="I31" s="60" t="str"/>
      <x:c r="J31" s="60" t="str"/>
    </x:row>
    <x:row r="32">
      <x:c r="A32" s="45" t="str">
        <x:v>4</x:v>
      </x:c>
      <x:c r="B32" s="152" t="str">
        <x:v>本版已避免“成本用负数列示再相加”带来的误读，所有成本均为正数并在公式中扣减。</x:v>
      </x:c>
      <x:c r="C32" s="60" t="str"/>
      <x:c r="D32" s="60" t="str"/>
      <x:c r="E32" s="60" t="str"/>
      <x:c r="F32" s="60" t="str"/>
      <x:c r="G32" s="60" t="str"/>
      <x:c r="H32" s="60" t="str"/>
      <x:c r="I32" s="60" t="str"/>
      <x:c r="J32" s="60" t="str"/>
    </x:row>
  </x:sheetData>
  <x:mergeCells>
    <x:mergeCell ref="A1:J1"/>
    <x:mergeCell ref="A2:J2"/>
    <x:mergeCell ref="A4:D4"/>
    <x:mergeCell ref="A12:J12"/>
    <x:mergeCell ref="A28:J28"/>
    <x:mergeCell ref="C29:J29"/>
    <x:mergeCell ref="C30:J30"/>
    <x:mergeCell ref="C31:J31"/>
    <x:mergeCell ref="C32:J3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6" hidden="0" customWidth="1"/>
    <x:col min="5" max="5" width="28" hidden="0" customWidth="1"/>
    <x:col min="6" max="6" width="10" hidden="0" customWidth="1"/>
    <x:col min="7" max="7" width="50" hidden="0" customWidth="1"/>
    <x:col min="8" max="8" width="14" hidden="0" customWidth="1"/>
  </x:cols>
  <x:sheetData>
    <x:row r="1" ht="26" customHeight="1">
      <x:c r="A1" s="3" t="str">
        <x:v>通用输入假设｜能源托管 vs LaaS/AI订阅</x:v>
      </x:c>
      <x:c r="B1" s="3"/>
      <x:c r="C1" s="3"/>
      <x:c r="D1" s="3"/>
      <x:c r="E1" s="3"/>
      <x:c r="F1" s="3"/>
      <x:c r="G1" s="3"/>
      <x:c r="H1" s="3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蓝色数字为可修改输入。所有成本均按“正数成本/支出”录入，净现金流采用显性减法，避免把成本当收入相加。</x:v>
      </x:c>
      <x:c r="B2" s="6"/>
      <x:c r="C2" s="6"/>
      <x:c r="D2" s="6"/>
      <x:c r="E2" s="6"/>
      <x:c r="F2" s="6"/>
      <x:c r="G2" s="6"/>
      <x:c r="H2" s="6"/>
    </x:row>
    <x:row r="4">
      <x:c r="A4" s="44" t="str">
        <x:v>模块</x:v>
      </x:c>
      <x:c r="B4" s="44" t="str">
        <x:v>参数</x:v>
      </x:c>
      <x:c r="C4" s="44" t="str">
        <x:v>单位</x:v>
      </x:c>
      <x:c r="D4" s="44" t="str">
        <x:v>输入值</x:v>
      </x:c>
      <x:c r="E4" s="44" t="str">
        <x:v>来源/依据</x:v>
      </x:c>
      <x:c r="F4" s="44" t="str">
        <x:v>是否常改</x:v>
      </x:c>
      <x:c r="G4" s="44" t="str">
        <x:v>备注</x:v>
      </x:c>
      <x:c r="H4" s="44" t="str">
        <x:v>校验</x:v>
      </x:c>
    </x:row>
    <x:row r="5">
      <x:c r="A5" s="45" t="str">
        <x:v>基础参数</x:v>
      </x:c>
      <x:c r="B5" s="45" t="str">
        <x:v>模型期</x:v>
      </x:c>
      <x:c r="C5" s="45" t="str">
        <x:v>年</x:v>
      </x:c>
      <x:c r="D5" s="46" t="n">
        <x:v>10</x:v>
      </x:c>
      <x:c r="E5" s="45" t="str">
        <x:v>用户示例/通用模型</x:v>
      </x:c>
      <x:c r="F5" s="45" t="str">
        <x:v>是</x:v>
      </x:c>
      <x:c r="G5" s="60" t="str">
        <x:v>模板当前展开Y0-Y10；如需15年可继续扩展年度列。</x:v>
      </x:c>
      <x:c r="H5" s="60" t="str">
        <x:v>&gt;0</x:v>
      </x:c>
    </x:row>
    <x:row r="6">
      <x:c r="A6" s="45" t="str">
        <x:v>基础参数</x:v>
      </x:c>
      <x:c r="B6" s="45" t="str">
        <x:v>灯具数量</x:v>
      </x:c>
      <x:c r="C6" s="45" t="str">
        <x:v>盏</x:v>
      </x:c>
      <x:c r="D6" s="46" t="n">
        <x:v>5000</x:v>
      </x:c>
      <x:c r="E6" s="45" t="str">
        <x:v>用户示例假设</x:v>
      </x:c>
      <x:c r="F6" s="45" t="str">
        <x:v>是</x:v>
      </x:c>
      <x:c r="G6" s="60" t="str">
        <x:v>用于计算总能耗、总运维费、总CAPEX。</x:v>
      </x:c>
      <x:c r="H6" s="60" t="str">
        <x:v>&gt;0</x:v>
      </x:c>
    </x:row>
    <x:row r="7">
      <x:c r="A7" s="45" t="str">
        <x:v>基础参数</x:v>
      </x:c>
      <x:c r="B7" s="45" t="str">
        <x:v>业主年度服务费预算/付费上限</x:v>
      </x:c>
      <x:c r="C7" s="45" t="str">
        <x:v>元/年</x:v>
      </x:c>
      <x:c r="D7" s="47" t="n">
        <x:v>1000000</x:v>
      </x:c>
      <x:c r="E7" s="45" t="str">
        <x:v>用户示例假设</x:v>
      </x:c>
      <x:c r="F7" s="45" t="str">
        <x:v>是</x:v>
      </x:c>
      <x:c r="G7" s="60" t="str">
        <x:v>这里是业主每年可支付给服务商的固定预算，不是业主一次性CAPEX。</x:v>
      </x:c>
      <x:c r="H7" s="60" t="str">
        <x:v>&gt;=0</x:v>
      </x:c>
    </x:row>
    <x:row r="8">
      <x:c r="A8" s="45" t="str">
        <x:v>基础参数</x:v>
      </x:c>
      <x:c r="B8" s="45" t="str">
        <x:v>电价</x:v>
      </x:c>
      <x:c r="C8" s="45" t="str">
        <x:v>元/kWh</x:v>
      </x:c>
      <x:c r="D8" s="47" t="n">
        <x:v>0.5</x:v>
      </x:c>
      <x:c r="E8" s="45" t="str">
        <x:v>用户示例假设</x:v>
      </x:c>
      <x:c r="F8" s="45" t="str">
        <x:v>是</x:v>
      </x:c>
      <x:c r="G8" s="60" t="str">
        <x:v>如存在峰谷电价，可替换为加权平均电价。</x:v>
      </x:c>
      <x:c r="H8" s="60" t="str">
        <x:v>&gt;=0</x:v>
      </x:c>
    </x:row>
    <x:row r="9">
      <x:c r="A9" s="45" t="str">
        <x:v>基础参数</x:v>
      </x:c>
      <x:c r="B9" s="45" t="str">
        <x:v>现状单灯功率</x:v>
      </x:c>
      <x:c r="C9" s="45" t="str">
        <x:v>W/盏</x:v>
      </x:c>
      <x:c r="D9" s="48" t="n">
        <x:v>150</x:v>
      </x:c>
      <x:c r="E9" s="45" t="str">
        <x:v>模型默认假设，需现场替换</x:v>
      </x:c>
      <x:c r="F9" s="45" t="str">
        <x:v>是</x:v>
      </x:c>
      <x:c r="G9" s="60" t="str">
        <x:v>用于估算现状年用电量。</x:v>
      </x:c>
      <x:c r="H9" s="60" t="str">
        <x:v>&gt;0</x:v>
      </x:c>
    </x:row>
    <x:row r="10">
      <x:c r="A10" s="45" t="str">
        <x:v>基础参数</x:v>
      </x:c>
      <x:c r="B10" s="45" t="str">
        <x:v>每日亮灯小时</x:v>
      </x:c>
      <x:c r="C10" s="45" t="str">
        <x:v>小时/天</x:v>
      </x:c>
      <x:c r="D10" s="46" t="n">
        <x:v>11</x:v>
      </x:c>
      <x:c r="E10" s="45" t="str">
        <x:v>模型默认假设，需现场替换</x:v>
      </x:c>
      <x:c r="F10" s="45" t="str">
        <x:v>是</x:v>
      </x:c>
      <x:c r="G10" s="60" t="str">
        <x:v>路灯常按10-12小时估算，具体按当地控制策略替换。</x:v>
      </x:c>
      <x:c r="H10" s="60" t="str">
        <x:v>0-24</x:v>
      </x:c>
    </x:row>
    <x:row r="11">
      <x:c r="A11" s="45" t="str">
        <x:v>基础参数</x:v>
      </x:c>
      <x:c r="B11" s="45" t="str">
        <x:v>年运行天数</x:v>
      </x:c>
      <x:c r="C11" s="45" t="str">
        <x:v>天/年</x:v>
      </x:c>
      <x:c r="D11" s="46" t="n">
        <x:v>365</x:v>
      </x:c>
      <x:c r="E11" s="45" t="str">
        <x:v>模型默认假设</x:v>
      </x:c>
      <x:c r="F11" s="45" t="str">
        <x:v>是</x:v>
      </x:c>
      <x:c r="G11" s="60" t="str">
        <x:v>通常取365。</x:v>
      </x:c>
      <x:c r="H11" s="60" t="str">
        <x:v>&gt;0</x:v>
      </x:c>
    </x:row>
    <x:row r="12">
      <x:c r="A12" s="45" t="str">
        <x:v>基础参数</x:v>
      </x:c>
      <x:c r="B12" s="45" t="str">
        <x:v>现状运维单价</x:v>
      </x:c>
      <x:c r="C12" s="45" t="str">
        <x:v>元/盏/年</x:v>
      </x:c>
      <x:c r="D12" s="46" t="n">
        <x:v>100</x:v>
      </x:c>
      <x:c r="E12" s="45" t="str">
        <x:v>用户示例假设</x:v>
      </x:c>
      <x:c r="F12" s="45" t="str">
        <x:v>是</x:v>
      </x:c>
      <x:c r="G12" s="60" t="str">
        <x:v>业主现状运维支出。</x:v>
      </x:c>
      <x:c r="H12" s="60" t="str">
        <x:v>&gt;=0</x:v>
      </x:c>
    </x:row>
    <x:row r="13">
      <x:c r="A13" s="45" t="str">
        <x:v>基础参数</x:v>
      </x:c>
      <x:c r="B13" s="45" t="str">
        <x:v>折现率</x:v>
      </x:c>
      <x:c r="C13" s="45" t="str">
        <x:v>%</x:v>
      </x:c>
      <x:c r="D13" s="49" t="n">
        <x:v>0.08</x:v>
      </x:c>
      <x:c r="E13" s="45" t="str">
        <x:v>模型默认假设</x:v>
      </x:c>
      <x:c r="F13" s="45" t="str">
        <x:v>是</x:v>
      </x:c>
      <x:c r="G13" s="60" t="str">
        <x:v>用于服务商NPV，可按资金成本/项目风险调整。</x:v>
      </x:c>
      <x:c r="H13" s="60" t="str">
        <x:v>&gt;=0</x:v>
      </x:c>
    </x:row>
    <x:row r="14">
      <x:c r="A14" s="45" t="str">
        <x:v>基础参数</x:v>
      </x:c>
      <x:c r="B14" s="45" t="str">
        <x:v>电价年增长率</x:v>
      </x:c>
      <x:c r="C14" s="45" t="str">
        <x:v>%</x:v>
      </x:c>
      <x:c r="D14" s="49" t="n">
        <x:v>0</x:v>
      </x:c>
      <x:c r="E14" s="45" t="str">
        <x:v>模型默认假设</x:v>
      </x:c>
      <x:c r="F14" s="45" t="str">
        <x:v>可选</x:v>
      </x:c>
      <x:c r="G14" s="60" t="str">
        <x:v>若不确定，可先设为0。</x:v>
      </x:c>
      <x:c r="H14" s="60" t="str">
        <x:v>&gt;=0</x:v>
      </x:c>
    </x:row>
    <x:row r="15">
      <x:c r="A15" s="45" t="str">
        <x:v>基础参数</x:v>
      </x:c>
      <x:c r="B15" s="45" t="str">
        <x:v>服务商成本年增长率</x:v>
      </x:c>
      <x:c r="C15" s="45" t="str">
        <x:v>%</x:v>
      </x:c>
      <x:c r="D15" s="49" t="n">
        <x:v>0</x:v>
      </x:c>
      <x:c r="E15" s="45" t="str">
        <x:v>模型默认假设</x:v>
      </x:c>
      <x:c r="F15" s="45" t="str">
        <x:v>可选</x:v>
      </x:c>
      <x:c r="G15" s="60" t="str">
        <x:v>用于运维、平台、备件等成本年度增长。</x:v>
      </x:c>
      <x:c r="H15" s="60" t="str">
        <x:v>&gt;=0</x:v>
      </x:c>
    </x:row>
    <x:row r="16">
      <x:c r="A16" s="45" t="str">
        <x:v>基础参数</x:v>
      </x:c>
      <x:c r="B16" s="45" t="str">
        <x:v>服务费年增长率</x:v>
      </x:c>
      <x:c r="C16" s="45" t="str">
        <x:v>%</x:v>
      </x:c>
      <x:c r="D16" s="49" t="n">
        <x:v>0</x:v>
      </x:c>
      <x:c r="E16" s="45" t="str">
        <x:v>模型默认假设</x:v>
      </x:c>
      <x:c r="F16" s="45" t="str">
        <x:v>可选</x:v>
      </x:c>
      <x:c r="G16" s="60" t="str">
        <x:v>若合同约定服务费递增，可在此填写。</x:v>
      </x:c>
      <x:c r="H16" s="60" t="str">
        <x:v>&gt;=0</x:v>
      </x:c>
    </x:row>
    <x:row r="17">
      <x:c r="A17" s="45" t="str">
        <x:v>基础参数</x:v>
      </x:c>
      <x:c r="B17" s="45" t="str">
        <x:v>业主保留管理成本</x:v>
      </x:c>
      <x:c r="C17" s="45" t="str">
        <x:v>元/年</x:v>
      </x:c>
      <x:c r="D17" s="47" t="n">
        <x:v>0</x:v>
      </x:c>
      <x:c r="E17" s="45" t="str">
        <x:v>模型默认假设</x:v>
      </x:c>
      <x:c r="F17" s="45" t="str">
        <x:v>可选</x:v>
      </x:c>
      <x:c r="G17" s="60" t="str">
        <x:v>如业主仍保留少量监督、接口、验收等管理成本。</x:v>
      </x:c>
      <x:c r="H17" s="60" t="str">
        <x:v>&gt;=0</x:v>
      </x:c>
    </x:row>
    <x:row r="18">
      <x:c r="A18" s="50" t="str">
        <x:v>能源托管/EMC</x:v>
      </x:c>
      <x:c r="B18" s="50" t="str">
        <x:v>初始CAPEX单价</x:v>
      </x:c>
      <x:c r="C18" s="50" t="str">
        <x:v>元/盏</x:v>
      </x:c>
      <x:c r="D18" s="164" t="n">
        <x:v>1000</x:v>
      </x:c>
      <x:c r="E18" s="50" t="str">
        <x:v>模型默认假设，需报价替换</x:v>
      </x:c>
      <x:c r="F18" s="50" t="str">
        <x:v>是</x:v>
      </x:c>
      <x:c r="G18" s="61" t="str">
        <x:v>含灯具、施工、基础控制等；现金流Y0扣减。</x:v>
      </x:c>
      <x:c r="H18" s="61" t="str">
        <x:v>&gt;=0</x:v>
      </x:c>
    </x:row>
    <x:row r="19">
      <x:c r="A19" s="45" t="str">
        <x:v>能源托管/EMC</x:v>
      </x:c>
      <x:c r="B19" s="45" t="str">
        <x:v>固定服务费收入</x:v>
      </x:c>
      <x:c r="C19" s="45" t="str">
        <x:v>元/年</x:v>
      </x:c>
      <x:c r="D19" s="47" t="n">
        <x:v>1000000</x:v>
      </x:c>
      <x:c r="E19" s="45" t="str">
        <x:v>默认等于业主年度预算</x:v>
      </x:c>
      <x:c r="F19" s="45" t="str">
        <x:v>是</x:v>
      </x:c>
      <x:c r="G19" s="60" t="str">
        <x:v>服务商每年从业主获得的固定服务费。</x:v>
      </x:c>
      <x:c r="H19" s="60" t="str">
        <x:v>&gt;=0</x:v>
      </x:c>
    </x:row>
    <x:row r="20">
      <x:c r="A20" s="45" t="str">
        <x:v>能源托管/EMC</x:v>
      </x:c>
      <x:c r="B20" s="45" t="str">
        <x:v>其他/第三方收入</x:v>
      </x:c>
      <x:c r="C20" s="45" t="str">
        <x:v>元/年</x:v>
      </x:c>
      <x:c r="D20" s="47" t="n">
        <x:v>0</x:v>
      </x:c>
      <x:c r="E20" s="45" t="str">
        <x:v>模型默认假设</x:v>
      </x:c>
      <x:c r="F20" s="45" t="str">
        <x:v>可选</x:v>
      </x:c>
      <x:c r="G20" s="60" t="str">
        <x:v>如非业主支付的增值收入；不自动计入业主支出，避免双算。</x:v>
      </x:c>
      <x:c r="H20" s="60" t="str">
        <x:v>&gt;=0</x:v>
      </x:c>
    </x:row>
    <x:row r="21">
      <x:c r="A21" s="45" t="str">
        <x:v>能源托管/EMC</x:v>
      </x:c>
      <x:c r="B21" s="45" t="str">
        <x:v>综合节电率</x:v>
      </x:c>
      <x:c r="C21" s="45" t="str">
        <x:v>%</x:v>
      </x:c>
      <x:c r="D21" s="49" t="n">
        <x:v>0.5</x:v>
      </x:c>
      <x:c r="E21" s="45" t="str">
        <x:v>模型默认假设，需项目测算替换</x:v>
      </x:c>
      <x:c r="F21" s="45" t="str">
        <x:v>是</x:v>
      </x:c>
      <x:c r="G21" s="60" t="str">
        <x:v>LED改造+基础控制后的综合节电率。</x:v>
      </x:c>
      <x:c r="H21" s="60" t="str">
        <x:v>0-95%</x:v>
      </x:c>
    </x:row>
    <x:row r="22">
      <x:c r="A22" s="45" t="str">
        <x:v>能源托管/EMC</x:v>
      </x:c>
      <x:c r="B22" s="45" t="str">
        <x:v>服务商运维现金成本</x:v>
      </x:c>
      <x:c r="C22" s="45" t="str">
        <x:v>元/盏/年</x:v>
      </x:c>
      <x:c r="D22" s="47" t="n">
        <x:v>80</x:v>
      </x:c>
      <x:c r="E22" s="45" t="str">
        <x:v>模型默认假设，需报价替换</x:v>
      </x:c>
      <x:c r="F22" s="45" t="str">
        <x:v>是</x:v>
      </x:c>
      <x:c r="G22" s="60" t="str">
        <x:v>服务商实际维护成本，按正数录入。</x:v>
      </x:c>
      <x:c r="H22" s="60" t="str">
        <x:v>&gt;=0</x:v>
      </x:c>
    </x:row>
    <x:row r="23">
      <x:c r="A23" s="45" t="str">
        <x:v>能源托管/EMC</x:v>
      </x:c>
      <x:c r="B23" s="45" t="str">
        <x:v>平台/管理成本</x:v>
      </x:c>
      <x:c r="C23" s="45" t="str">
        <x:v>元/年</x:v>
      </x:c>
      <x:c r="D23" s="47" t="n">
        <x:v>150000</x:v>
      </x:c>
      <x:c r="E23" s="45" t="str">
        <x:v>模型默认假设</x:v>
      </x:c>
      <x:c r="F23" s="45" t="str">
        <x:v>是</x:v>
      </x:c>
      <x:c r="G23" s="60" t="str">
        <x:v>项目管理、平台接入、巡检系统等年度成本。</x:v>
      </x:c>
      <x:c r="H23" s="60" t="str">
        <x:v>&gt;=0</x:v>
      </x:c>
    </x:row>
    <x:row r="24">
      <x:c r="A24" s="45" t="str">
        <x:v>能源托管/EMC</x:v>
      </x:c>
      <x:c r="B24" s="45" t="str">
        <x:v>备件/小改造储备</x:v>
      </x:c>
      <x:c r="C24" s="45" t="str">
        <x:v>元/年</x:v>
      </x:c>
      <x:c r="D24" s="47" t="n">
        <x:v>50000</x:v>
      </x:c>
      <x:c r="E24" s="45" t="str">
        <x:v>模型默认假设</x:v>
      </x:c>
      <x:c r="F24" s="45" t="str">
        <x:v>是</x:v>
      </x:c>
      <x:c r="G24" s="60" t="str">
        <x:v>备件更换、小修小改预留。</x:v>
      </x:c>
      <x:c r="H24" s="60" t="str">
        <x:v>&gt;=0</x:v>
      </x:c>
    </x:row>
    <x:row r="25">
      <x:c r="A25" s="45" t="str">
        <x:v>能源托管/EMC</x:v>
      </x:c>
      <x:c r="B25" s="45" t="str">
        <x:v>服务商是否承担电费</x:v>
      </x:c>
      <x:c r="C25" s="45" t="str">
        <x:v>0/1</x:v>
      </x:c>
      <x:c r="D25" s="46" t="n">
        <x:v>0</x:v>
      </x:c>
      <x:c r="E25" s="45" t="str">
        <x:v>模型开关</x:v>
      </x:c>
      <x:c r="F25" s="45" t="str">
        <x:v>是</x:v>
      </x:c>
      <x:c r="G25" s="60" t="str">
        <x:v>0=业主继续支付电费；1=服务商承担电费。</x:v>
      </x:c>
      <x:c r="H25" s="60" t="str">
        <x:v>0或1</x:v>
      </x:c>
    </x:row>
    <x:row r="26">
      <x:c r="A26" s="45" t="str">
        <x:v>能源托管/EMC</x:v>
      </x:c>
      <x:c r="B26" s="45" t="str">
        <x:v>资产转让年份</x:v>
      </x:c>
      <x:c r="C26" s="45" t="str">
        <x:v>年</x:v>
      </x:c>
      <x:c r="D26" s="46" t="n">
        <x:v>0</x:v>
      </x:c>
      <x:c r="E26" s="45" t="str">
        <x:v>模型默认假设</x:v>
      </x:c>
      <x:c r="F26" s="45" t="str">
        <x:v>可选</x:v>
      </x:c>
      <x:c r="G26" s="60" t="str">
        <x:v>0表示不转让；如第5年转让则填5。</x:v>
      </x:c>
      <x:c r="H26" s="60" t="str">
        <x:v>0-模型期</x:v>
      </x:c>
    </x:row>
    <x:row r="27">
      <x:c r="A27" s="45" t="str">
        <x:v>能源托管/EMC</x:v>
      </x:c>
      <x:c r="B27" s="45" t="str">
        <x:v>资产转让收入</x:v>
      </x:c>
      <x:c r="C27" s="45" t="str">
        <x:v>元</x:v>
      </x:c>
      <x:c r="D27" s="47" t="n">
        <x:v>0</x:v>
      </x:c>
      <x:c r="E27" s="45" t="str">
        <x:v>模型默认假设</x:v>
      </x:c>
      <x:c r="F27" s="45" t="str">
        <x:v>可选</x:v>
      </x:c>
      <x:c r="G27" s="60" t="str">
        <x:v>资产买断/转让收入；仅在资产转让年份进入服务商现金流。</x:v>
      </x:c>
      <x:c r="H27" s="60" t="str">
        <x:v>&gt;=0</x:v>
      </x:c>
    </x:row>
    <x:row r="28">
      <x:c r="A28" s="50" t="str">
        <x:v>LaaS/AI订阅</x:v>
      </x:c>
      <x:c r="B28" s="50" t="str">
        <x:v>初始CAPEX单价</x:v>
      </x:c>
      <x:c r="C28" s="50" t="str">
        <x:v>元/盏</x:v>
      </x:c>
      <x:c r="D28" s="164" t="n">
        <x:v>1380</x:v>
      </x:c>
      <x:c r="E28" s="50" t="str">
        <x:v>模型默认假设，需报价替换</x:v>
      </x:c>
      <x:c r="F28" s="50" t="str">
        <x:v>是</x:v>
      </x:c>
      <x:c r="G28" s="61" t="str">
        <x:v>通常含AI、通信、传感、平台接入，可能高于普通托管。</x:v>
      </x:c>
      <x:c r="H28" s="61" t="str">
        <x:v>&gt;=0</x:v>
      </x:c>
    </x:row>
    <x:row r="29">
      <x:c r="A29" s="45" t="str">
        <x:v>LaaS/AI订阅</x:v>
      </x:c>
      <x:c r="B29" s="45" t="str">
        <x:v>订阅费收入</x:v>
      </x:c>
      <x:c r="C29" s="45" t="str">
        <x:v>元/年</x:v>
      </x:c>
      <x:c r="D29" s="47" t="n">
        <x:v>1000000</x:v>
      </x:c>
      <x:c r="E29" s="45" t="str">
        <x:v>默认等于业主年度预算</x:v>
      </x:c>
      <x:c r="F29" s="45" t="str">
        <x:v>是</x:v>
      </x:c>
      <x:c r="G29" s="60" t="str">
        <x:v>服务商每年从业主获得的订阅费。</x:v>
      </x:c>
      <x:c r="H29" s="60" t="str">
        <x:v>&gt;=0</x:v>
      </x:c>
    </x:row>
    <x:row r="30">
      <x:c r="A30" s="45" t="str">
        <x:v>LaaS/AI订阅</x:v>
      </x:c>
      <x:c r="B30" s="45" t="str">
        <x:v>其他/第三方收入</x:v>
      </x:c>
      <x:c r="C30" s="45" t="str">
        <x:v>元/年</x:v>
      </x:c>
      <x:c r="D30" s="47" t="n">
        <x:v>0</x:v>
      </x:c>
      <x:c r="E30" s="45" t="str">
        <x:v>模型默认假设</x:v>
      </x:c>
      <x:c r="F30" s="45" t="str">
        <x:v>可选</x:v>
      </x:c>
      <x:c r="G30" s="60" t="str">
        <x:v>广告、数据服务、城市接口等收入；不自动计入业主支出。</x:v>
      </x:c>
      <x:c r="H30" s="60" t="str">
        <x:v>&gt;=0</x:v>
      </x:c>
    </x:row>
    <x:row r="31">
      <x:c r="A31" s="45" t="str">
        <x:v>LaaS/AI订阅</x:v>
      </x:c>
      <x:c r="B31" s="45" t="str">
        <x:v>综合节电率</x:v>
      </x:c>
      <x:c r="C31" s="45" t="str">
        <x:v>%</x:v>
      </x:c>
      <x:c r="D31" s="49" t="n">
        <x:v>0.58</x:v>
      </x:c>
      <x:c r="E31" s="45" t="str">
        <x:v>模型默认假设，需项目测算替换</x:v>
      </x:c>
      <x:c r="F31" s="45" t="str">
        <x:v>是</x:v>
      </x:c>
      <x:c r="G31" s="60" t="str">
        <x:v>LED+AI调光+异常识别后的综合节电率。</x:v>
      </x:c>
      <x:c r="H31" s="60" t="str">
        <x:v>0-95%</x:v>
      </x:c>
    </x:row>
    <x:row r="32">
      <x:c r="A32" s="45" t="str">
        <x:v>LaaS/AI订阅</x:v>
      </x:c>
      <x:c r="B32" s="45" t="str">
        <x:v>服务商运维现金成本</x:v>
      </x:c>
      <x:c r="C32" s="45" t="str">
        <x:v>元/盏/年</x:v>
      </x:c>
      <x:c r="D32" s="47" t="n">
        <x:v>60</x:v>
      </x:c>
      <x:c r="E32" s="45" t="str">
        <x:v>模型默认假设，需项目测算替换</x:v>
      </x:c>
      <x:c r="F32" s="45" t="str">
        <x:v>是</x:v>
      </x:c>
      <x:c r="G32" s="60" t="str">
        <x:v>AI巡检、远程诊断、工单化后可能降低。</x:v>
      </x:c>
      <x:c r="H32" s="60" t="str">
        <x:v>&gt;=0</x:v>
      </x:c>
    </x:row>
    <x:row r="33">
      <x:c r="A33" s="45" t="str">
        <x:v>LaaS/AI订阅</x:v>
      </x:c>
      <x:c r="B33" s="45" t="str">
        <x:v>平台/AI升级成本</x:v>
      </x:c>
      <x:c r="C33" s="45" t="str">
        <x:v>元/年</x:v>
      </x:c>
      <x:c r="D33" s="47" t="n">
        <x:v>350000</x:v>
      </x:c>
      <x:c r="E33" s="45" t="str">
        <x:v>模型默认假设</x:v>
      </x:c>
      <x:c r="F33" s="45" t="str">
        <x:v>是</x:v>
      </x:c>
      <x:c r="G33" s="60" t="str">
        <x:v>算法、平台、通信、云资源、版本升级等年度成本。</x:v>
      </x:c>
      <x:c r="H33" s="60" t="str">
        <x:v>&gt;=0</x:v>
      </x:c>
    </x:row>
    <x:row r="34">
      <x:c r="A34" s="45" t="str">
        <x:v>LaaS/AI订阅</x:v>
      </x:c>
      <x:c r="B34" s="45" t="str">
        <x:v>升级/备件储备</x:v>
      </x:c>
      <x:c r="C34" s="45" t="str">
        <x:v>元/年</x:v>
      </x:c>
      <x:c r="D34" s="47" t="n">
        <x:v>150000</x:v>
      </x:c>
      <x:c r="E34" s="45" t="str">
        <x:v>模型默认假设</x:v>
      </x:c>
      <x:c r="F34" s="45" t="str">
        <x:v>是</x:v>
      </x:c>
      <x:c r="G34" s="60" t="str">
        <x:v>硬件升级、备件与系统迭代预留。</x:v>
      </x:c>
      <x:c r="H34" s="60" t="str">
        <x:v>&gt;=0</x:v>
      </x:c>
    </x:row>
    <x:row r="35">
      <x:c r="A35" s="45" t="str">
        <x:v>LaaS/AI订阅</x:v>
      </x:c>
      <x:c r="B35" s="45" t="str">
        <x:v>服务商是否承担电费</x:v>
      </x:c>
      <x:c r="C35" s="45" t="str">
        <x:v>0/1</x:v>
      </x:c>
      <x:c r="D35" s="46" t="n">
        <x:v>0</x:v>
      </x:c>
      <x:c r="E35" s="45" t="str">
        <x:v>模型开关</x:v>
      </x:c>
      <x:c r="F35" s="45" t="str">
        <x:v>是</x:v>
      </x:c>
      <x:c r="G35" s="60" t="str">
        <x:v>0=业主继续支付电费；1=服务商承担电费。</x:v>
      </x:c>
      <x:c r="H35" s="60" t="str">
        <x:v>0或1</x:v>
      </x:c>
    </x:row>
    <x:row r="36">
      <x:c r="A36" s="45" t="str">
        <x:v>LaaS/AI订阅</x:v>
      </x:c>
      <x:c r="B36" s="45" t="str">
        <x:v>资产转让年份</x:v>
      </x:c>
      <x:c r="C36" s="45" t="str">
        <x:v>年</x:v>
      </x:c>
      <x:c r="D36" s="46" t="n">
        <x:v>0</x:v>
      </x:c>
      <x:c r="E36" s="45" t="str">
        <x:v>模型默认假设</x:v>
      </x:c>
      <x:c r="F36" s="45" t="str">
        <x:v>可选</x:v>
      </x:c>
      <x:c r="G36" s="60" t="str">
        <x:v>0表示不转让；如第5年转让则填5。</x:v>
      </x:c>
      <x:c r="H36" s="60" t="str">
        <x:v>0-模型期</x:v>
      </x:c>
    </x:row>
    <x:row r="37">
      <x:c r="A37" s="45" t="str">
        <x:v>LaaS/AI订阅</x:v>
      </x:c>
      <x:c r="B37" s="45" t="str">
        <x:v>资产转让收入</x:v>
      </x:c>
      <x:c r="C37" s="45" t="str">
        <x:v>元</x:v>
      </x:c>
      <x:c r="D37" s="47" t="n">
        <x:v>0</x:v>
      </x:c>
      <x:c r="E37" s="45" t="str">
        <x:v>模型默认假设</x:v>
      </x:c>
      <x:c r="F37" s="45" t="str">
        <x:v>可选</x:v>
      </x:c>
      <x:c r="G37" s="60" t="str">
        <x:v>资产买断/转让收入；仅在资产转让年份进入服务商现金流。</x:v>
      </x:c>
      <x:c r="H37" s="60" t="str">
        <x:v>&gt;=0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6" hidden="0" customWidth="1"/>
    <x:col min="4" max="4" width="18" hidden="0" customWidth="1"/>
    <x:col min="5" max="5" width="34" hidden="0" customWidth="1"/>
    <x:col min="6" max="6" width="16" hidden="0" customWidth="1"/>
  </x:cols>
  <x:sheetData>
    <x:row r="1" ht="26" customHeight="1">
      <x:c r="A1" s="3" t="str">
        <x:v>现状基准测算｜不改造情形</x:v>
      </x:c>
      <x:c r="B1" s="3"/>
      <x:c r="C1" s="3"/>
      <x:c r="D1" s="3"/>
      <x:c r="E1" s="3"/>
      <x:c r="F1" s="3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所有节省额均相对于本页“不改造”基准计算。</x:v>
      </x:c>
      <x:c r="B2" s="6"/>
      <x:c r="C2" s="6"/>
      <x:c r="D2" s="6"/>
      <x:c r="E2" s="6"/>
      <x:c r="F2" s="6"/>
    </x:row>
    <x:row r="4">
      <x:c r="A4" s="44" t="str">
        <x:v>项目</x:v>
      </x:c>
      <x:c r="B4" s="44" t="str">
        <x:v>单位</x:v>
      </x:c>
      <x:c r="C4" s="44" t="str">
        <x:v>公式/口径</x:v>
      </x:c>
      <x:c r="D4" s="44" t="str">
        <x:v>计算值</x:v>
      </x:c>
      <x:c r="E4" s="44" t="str">
        <x:v>备注</x:v>
      </x:c>
      <x:c r="F4" s="44" t="str">
        <x:v>校验</x:v>
      </x:c>
    </x:row>
    <x:row r="5">
      <x:c r="A5" s="45" t="str">
        <x:v>灯具数量</x:v>
      </x:c>
      <x:c r="B5" s="45" t="str">
        <x:v>盏</x:v>
      </x:c>
      <x:c r="C5" s="60" t="str">
        <x:v>来自Inputs</x:v>
      </x:c>
      <x:c r="D5" s="86" t="n">
        <x:f>'02_Inputs'!D6</x:f>
        <x:v>5000</x:v>
      </x:c>
      <x:c r="E5" s="60" t="str"/>
      <x:c r="F5" s="45" t="str"/>
    </x:row>
    <x:row r="6">
      <x:c r="A6" s="45" t="str">
        <x:v>现状单灯功率</x:v>
      </x:c>
      <x:c r="B6" s="45" t="str">
        <x:v>W/盏</x:v>
      </x:c>
      <x:c r="C6" s="60" t="str">
        <x:v>来自Inputs</x:v>
      </x:c>
      <x:c r="D6" s="86" t="n">
        <x:f>'02_Inputs'!D9</x:f>
        <x:v>150</x:v>
      </x:c>
      <x:c r="E6" s="60" t="str"/>
      <x:c r="F6" s="45" t="str"/>
    </x:row>
    <x:row r="7">
      <x:c r="A7" s="45" t="str">
        <x:v>每日亮灯小时</x:v>
      </x:c>
      <x:c r="B7" s="45" t="str">
        <x:v>小时/天</x:v>
      </x:c>
      <x:c r="C7" s="60" t="str">
        <x:v>来自Inputs</x:v>
      </x:c>
      <x:c r="D7" s="86" t="n">
        <x:f>'02_Inputs'!D10</x:f>
        <x:v>11</x:v>
      </x:c>
      <x:c r="E7" s="60" t="str"/>
      <x:c r="F7" s="45" t="str"/>
    </x:row>
    <x:row r="8">
      <x:c r="A8" s="45" t="str">
        <x:v>年运行天数</x:v>
      </x:c>
      <x:c r="B8" s="45" t="str">
        <x:v>天/年</x:v>
      </x:c>
      <x:c r="C8" s="60" t="str">
        <x:v>来自Inputs</x:v>
      </x:c>
      <x:c r="D8" s="86" t="n">
        <x:f>'02_Inputs'!D11</x:f>
        <x:v>365</x:v>
      </x:c>
      <x:c r="E8" s="60" t="str"/>
      <x:c r="F8" s="45" t="str"/>
    </x:row>
    <x:row r="9">
      <x:c r="A9" s="45" t="str">
        <x:v>年运行小时</x:v>
      </x:c>
      <x:c r="B9" s="45" t="str">
        <x:v>小时/年</x:v>
      </x:c>
      <x:c r="C9" s="60" t="str">
        <x:v>每日亮灯小时×年运行天数</x:v>
      </x:c>
      <x:c r="D9" s="86" t="n">
        <x:f>D7*D8</x:f>
        <x:v>4015</x:v>
      </x:c>
      <x:c r="E9" s="60" t="str"/>
      <x:c r="F9" s="45" t="str"/>
    </x:row>
    <x:row r="10">
      <x:c r="A10" s="45" t="str">
        <x:v>现状年用电量</x:v>
      </x:c>
      <x:c r="B10" s="45" t="str">
        <x:v>kWh/年</x:v>
      </x:c>
      <x:c r="C10" s="60" t="str">
        <x:v>灯具数量×单灯功率÷1000×年运行小时</x:v>
      </x:c>
      <x:c r="D10" s="86" t="n">
        <x:f>D5*D6/1000*D9</x:f>
        <x:v>3011250</x:v>
      </x:c>
      <x:c r="E10" s="60" t="str"/>
      <x:c r="F10" s="45" t="str"/>
    </x:row>
    <x:row r="11">
      <x:c r="A11" s="45" t="str">
        <x:v>电价</x:v>
      </x:c>
      <x:c r="B11" s="45" t="str">
        <x:v>元/kWh</x:v>
      </x:c>
      <x:c r="C11" s="60" t="str">
        <x:v>来自Inputs</x:v>
      </x:c>
      <x:c r="D11" s="87" t="n">
        <x:f>'02_Inputs'!D8</x:f>
        <x:v>0.5</x:v>
      </x:c>
      <x:c r="E11" s="60" t="str"/>
      <x:c r="F11" s="45" t="str"/>
    </x:row>
    <x:row r="12">
      <x:c r="A12" s="45" t="str">
        <x:v>基准年电费</x:v>
      </x:c>
      <x:c r="B12" s="45" t="str">
        <x:v>元/年</x:v>
      </x:c>
      <x:c r="C12" s="60" t="str">
        <x:v>现状年用电量×电价</x:v>
      </x:c>
      <x:c r="D12" s="88" t="n">
        <x:f>D10*D11</x:f>
        <x:v>1505625</x:v>
      </x:c>
      <x:c r="E12" s="60" t="str"/>
      <x:c r="F12" s="45" t="str"/>
    </x:row>
    <x:row r="13">
      <x:c r="A13" s="45" t="str">
        <x:v>现状运维单价</x:v>
      </x:c>
      <x:c r="B13" s="45" t="str">
        <x:v>元/盏/年</x:v>
      </x:c>
      <x:c r="C13" s="60" t="str">
        <x:v>来自Inputs</x:v>
      </x:c>
      <x:c r="D13" s="88" t="n">
        <x:f>'02_Inputs'!D12</x:f>
        <x:v>100</x:v>
      </x:c>
      <x:c r="E13" s="60" t="str"/>
      <x:c r="F13" s="45" t="str"/>
    </x:row>
    <x:row r="14">
      <x:c r="A14" s="45" t="str">
        <x:v>基准年运维费</x:v>
      </x:c>
      <x:c r="B14" s="45" t="str">
        <x:v>元/年</x:v>
      </x:c>
      <x:c r="C14" s="60" t="str">
        <x:v>灯具数量×现状运维单价</x:v>
      </x:c>
      <x:c r="D14" s="88" t="n">
        <x:f>D5*D13</x:f>
        <x:v>500000</x:v>
      </x:c>
      <x:c r="E14" s="60" t="str"/>
      <x:c r="F14" s="45" t="str"/>
    </x:row>
    <x:row r="15">
      <x:c r="A15" s="79" t="str">
        <x:v>基准年总成本</x:v>
      </x:c>
      <x:c r="B15" s="79" t="str">
        <x:v>元/年</x:v>
      </x:c>
      <x:c r="C15" s="89" t="str">
        <x:v>基准年电费+基准年运维费</x:v>
      </x:c>
      <x:c r="D15" s="90" t="n">
        <x:f>D12+D14</x:f>
        <x:v>2005625</x:v>
      </x:c>
      <x:c r="E15" s="89" t="str"/>
      <x:c r="F15" s="79" t="str"/>
    </x:row>
    <x:row r="16">
      <x:c r="A16" s="79" t="str">
        <x:v>业主年度服务费预算</x:v>
      </x:c>
      <x:c r="B16" s="79" t="str">
        <x:v>元/年</x:v>
      </x:c>
      <x:c r="C16" s="89" t="str">
        <x:v>来自Inputs</x:v>
      </x:c>
      <x:c r="D16" s="90" t="n">
        <x:f>'02_Inputs'!D7</x:f>
        <x:v>1000000</x:v>
      </x:c>
      <x:c r="E16" s="89" t="str"/>
      <x:c r="F16" s="79" t="str"/>
    </x:row>
    <x:row r="17">
      <x:c r="A17" s="79" t="str">
        <x:v>10年业主预算总额</x:v>
      </x:c>
      <x:c r="B17" s="79" t="str">
        <x:v>元</x:v>
      </x:c>
      <x:c r="C17" s="89" t="str">
        <x:v>年度预算×模型期</x:v>
      </x:c>
      <x:c r="D17" s="90" t="n">
        <x:f>D16*'02_Inputs'!D5</x:f>
        <x:v>10000000</x:v>
      </x:c>
      <x:c r="E17" s="89" t="str"/>
      <x:c r="F17" s="79" t="str"/>
    </x:row>
    <x:row r="18">
      <x:c r="A18" s="79" t="str">
        <x:v>10年不改造总成本</x:v>
      </x:c>
      <x:c r="B18" s="79" t="str">
        <x:v>元</x:v>
      </x:c>
      <x:c r="C18" s="89" t="str">
        <x:v>年度基准总成本合计，考虑增长率</x:v>
      </x:c>
      <x:c r="D18" s="90" t="n">
        <x:f>SUM('05_Annual_Model'!D8:M8)</x:f>
        <x:v>20056250</x:v>
      </x:c>
      <x:c r="E18" s="89" t="str"/>
      <x:c r="F18" s="79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18" hidden="0" customWidth="1"/>
    <x:col min="8" max="8" width="36" hidden="0" customWidth="1"/>
  </x:cols>
  <x:sheetData>
    <x:row r="1" ht="26" customHeight="1">
      <x:c r="A1" s="3" t="str">
        <x:v>模式参数对比｜同一项目条件下的两种模式</x:v>
      </x:c>
      <x:c r="B1" s="3"/>
      <x:c r="C1" s="3"/>
      <x:c r="D1" s="3"/>
      <x:c r="E1" s="3"/>
      <x:c r="F1" s="3"/>
      <x:c r="G1" s="3"/>
      <x:c r="H1" s="3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注意：业主年度预算、灯具数量、电价、现状运维费等基础条件相同；模式差异只体现在CAPEX、节电率、运维成本、平台成本、备件储备、是否承担电费等。</x:v>
      </x:c>
      <x:c r="B2" s="6"/>
      <x:c r="C2" s="6"/>
      <x:c r="D2" s="6"/>
      <x:c r="E2" s="6"/>
      <x:c r="F2" s="6"/>
      <x:c r="G2" s="6"/>
      <x:c r="H2" s="6"/>
    </x:row>
    <x:row r="4">
      <x:c r="A4" s="44" t="str">
        <x:v>项目</x:v>
      </x:c>
      <x:c r="B4" s="44" t="str">
        <x:v>单位</x:v>
      </x:c>
      <x:c r="C4" s="44" t="str">
        <x:v>能源托管/EMC</x:v>
      </x:c>
      <x:c r="D4" s="44" t="str">
        <x:v>LaaS/AI订阅</x:v>
      </x:c>
      <x:c r="E4" s="44" t="str">
        <x:v>LaaS相对差异</x:v>
      </x:c>
      <x:c r="F4" s="44" t="str">
        <x:v>计算口径</x:v>
      </x:c>
      <x:c r="G4" s="44" t="str">
        <x:v>归属方</x:v>
      </x:c>
      <x:c r="H4" s="44" t="str">
        <x:v>备注</x:v>
      </x:c>
    </x:row>
    <x:row r="5">
      <x:c r="A5" s="45" t="str">
        <x:v>初始CAPEX总额</x:v>
      </x:c>
      <x:c r="B5" s="45" t="str">
        <x:v>元</x:v>
      </x:c>
      <x:c r="C5" s="78" t="n">
        <x:f>'02_Inputs'!D6*'02_Inputs'!D18</x:f>
        <x:v>5000000</x:v>
      </x:c>
      <x:c r="D5" s="78" t="n">
        <x:f>'02_Inputs'!D6*'02_Inputs'!D28</x:f>
        <x:v>6900000</x:v>
      </x:c>
      <x:c r="E5" s="78" t="n">
        <x:f>C5-D5</x:f>
        <x:v>-1900000</x:v>
      </x:c>
      <x:c r="F5" s="60" t="str">
        <x:v>灯具数量×CAPEX单价</x:v>
      </x:c>
      <x:c r="G5" s="60" t="str">
        <x:v>服务商</x:v>
      </x:c>
      <x:c r="H5" s="60" t="str">
        <x:v>Y0一次性投入，现金流中扣减</x:v>
      </x:c>
    </x:row>
    <x:row r="6">
      <x:c r="A6" s="45" t="str">
        <x:v>年度服务/订阅收入</x:v>
      </x:c>
      <x:c r="B6" s="45" t="str">
        <x:v>元/年</x:v>
      </x:c>
      <x:c r="C6" s="78" t="n">
        <x:f>'02_Inputs'!D19</x:f>
        <x:v>1000000</x:v>
      </x:c>
      <x:c r="D6" s="78" t="n">
        <x:f>'02_Inputs'!D29</x:f>
        <x:v>1000000</x:v>
      </x:c>
      <x:c r="E6" s="78" t="n">
        <x:f>D6-C6</x:f>
        <x:v>0</x:v>
      </x:c>
      <x:c r="F6" s="60" t="str">
        <x:v>来自输入假设</x:v>
      </x:c>
      <x:c r="G6" s="60" t="str">
        <x:v>服务商收入/业主支出</x:v>
      </x:c>
      <x:c r="H6" s="60" t="str">
        <x:v>业主固定支付给服务商</x:v>
      </x:c>
    </x:row>
    <x:row r="7">
      <x:c r="A7" s="45" t="str">
        <x:v>其他/第三方收入</x:v>
      </x:c>
      <x:c r="B7" s="45" t="str">
        <x:v>元/年</x:v>
      </x:c>
      <x:c r="C7" s="78" t="n">
        <x:f>'02_Inputs'!D20</x:f>
        <x:v>0</x:v>
      </x:c>
      <x:c r="D7" s="78" t="n">
        <x:f>'02_Inputs'!D30</x:f>
        <x:v>0</x:v>
      </x:c>
      <x:c r="E7" s="78" t="n">
        <x:f>D7-C7</x:f>
        <x:v>0</x:v>
      </x:c>
      <x:c r="F7" s="60" t="str">
        <x:v>来自输入假设</x:v>
      </x:c>
      <x:c r="G7" s="60" t="str">
        <x:v>服务商收入</x:v>
      </x:c>
      <x:c r="H7" s="60" t="str">
        <x:v>默认不计入业主支出，避免双算</x:v>
      </x:c>
    </x:row>
    <x:row r="8">
      <x:c r="A8" s="45" t="str">
        <x:v>综合节电率</x:v>
      </x:c>
      <x:c r="B8" s="45" t="str">
        <x:v>%</x:v>
      </x:c>
      <x:c r="C8" s="100" t="n">
        <x:f>'02_Inputs'!D21</x:f>
        <x:v>0.5</x:v>
      </x:c>
      <x:c r="D8" s="100" t="n">
        <x:f>'02_Inputs'!D31</x:f>
        <x:v>0.58</x:v>
      </x:c>
      <x:c r="E8" s="100" t="n">
        <x:f>D8-C8</x:f>
        <x:v>0.07999999999999996</x:v>
      </x:c>
      <x:c r="F8" s="60" t="str">
        <x:v>来自输入假设</x:v>
      </x:c>
      <x:c r="G8" s="60" t="str">
        <x:v>承担电费一方</x:v>
      </x:c>
      <x:c r="H8" s="60" t="str">
        <x:v>影响改造后电费</x:v>
      </x:c>
    </x:row>
    <x:row r="9">
      <x:c r="A9" s="45" t="str">
        <x:v>改造后首年电费总额</x:v>
      </x:c>
      <x:c r="B9" s="45" t="str">
        <x:v>元/年</x:v>
      </x:c>
      <x:c r="C9" s="78" t="n">
        <x:f>'03_Baseline'!D12*(1-C8)</x:f>
        <x:v>752812.5</x:v>
      </x:c>
      <x:c r="D9" s="78" t="n">
        <x:f>'03_Baseline'!D12*(1-D8)</x:f>
        <x:v>632362.5000000001</x:v>
      </x:c>
      <x:c r="E9" s="78" t="n">
        <x:f>C9-D9</x:f>
        <x:v>120449.99999999988</x:v>
      </x:c>
      <x:c r="F9" s="60" t="str">
        <x:v>基准电费×(1-节电率)</x:v>
      </x:c>
      <x:c r="G9" s="60" t="str">
        <x:v>承担电费一方</x:v>
      </x:c>
      <x:c r="H9" s="60" t="str">
        <x:v>先计算物理电费，再由开关分配承担方</x:v>
      </x:c>
    </x:row>
    <x:row r="10">
      <x:c r="A10" s="45" t="str">
        <x:v>服务商是否承担电费</x:v>
      </x:c>
      <x:c r="B10" s="45" t="str">
        <x:v>0/1</x:v>
      </x:c>
      <x:c r="C10" s="78" t="n">
        <x:f>'02_Inputs'!D25</x:f>
        <x:v>0</x:v>
      </x:c>
      <x:c r="D10" s="78" t="n">
        <x:f>'02_Inputs'!D35</x:f>
        <x:v>0</x:v>
      </x:c>
      <x:c r="E10" s="78" t="n">
        <x:f>D10-C10</x:f>
        <x:v>0</x:v>
      </x:c>
      <x:c r="F10" s="60" t="str">
        <x:v>来自输入假设</x:v>
      </x:c>
      <x:c r="G10" s="60" t="str">
        <x:v>现金流分配</x:v>
      </x:c>
      <x:c r="H10" s="60" t="str">
        <x:v>0=业主承担；1=服务商承担</x:v>
      </x:c>
    </x:row>
    <x:row r="11">
      <x:c r="A11" s="45" t="str">
        <x:v>服务商电费成本</x:v>
      </x:c>
      <x:c r="B11" s="45" t="str">
        <x:v>元/年</x:v>
      </x:c>
      <x:c r="C11" s="78" t="n">
        <x:f>C9*C10</x:f>
        <x:v>0</x:v>
      </x:c>
      <x:c r="D11" s="78" t="n">
        <x:f>D9*D10</x:f>
        <x:v>0</x:v>
      </x:c>
      <x:c r="E11" s="78" t="n">
        <x:f>C11-D11</x:f>
        <x:v>0</x:v>
      </x:c>
      <x:c r="F11" s="60" t="str">
        <x:v>改造后电费×开关</x:v>
      </x:c>
      <x:c r="G11" s="60" t="str">
        <x:v>服务商成本</x:v>
      </x:c>
      <x:c r="H11" s="60" t="str">
        <x:v>成本为正数，净现金流中扣减</x:v>
      </x:c>
    </x:row>
    <x:row r="12">
      <x:c r="A12" s="45" t="str">
        <x:v>业主支付电费</x:v>
      </x:c>
      <x:c r="B12" s="45" t="str">
        <x:v>元/年</x:v>
      </x:c>
      <x:c r="C12" s="78" t="n">
        <x:f>C9*(1-C10)</x:f>
        <x:v>752812.5</x:v>
      </x:c>
      <x:c r="D12" s="78" t="n">
        <x:f>D9*(1-D10)</x:f>
        <x:v>632362.5000000001</x:v>
      </x:c>
      <x:c r="E12" s="78" t="n">
        <x:f>D12-C12</x:f>
        <x:v>-120449.99999999988</x:v>
      </x:c>
      <x:c r="F12" s="60" t="str">
        <x:v>改造后电费×(1-开关)</x:v>
      </x:c>
      <x:c r="G12" s="60" t="str">
        <x:v>业主支出</x:v>
      </x:c>
      <x:c r="H12" s="60" t="str">
        <x:v>业主若不承担则为0</x:v>
      </x:c>
    </x:row>
    <x:row r="13">
      <x:c r="A13" s="45" t="str">
        <x:v>服务商运维成本</x:v>
      </x:c>
      <x:c r="B13" s="45" t="str">
        <x:v>元/年</x:v>
      </x:c>
      <x:c r="C13" s="78" t="n">
        <x:f>'02_Inputs'!D6*'02_Inputs'!D22</x:f>
        <x:v>400000</x:v>
      </x:c>
      <x:c r="D13" s="78" t="n">
        <x:f>'02_Inputs'!D6*'02_Inputs'!D32</x:f>
        <x:v>300000</x:v>
      </x:c>
      <x:c r="E13" s="78" t="n">
        <x:f>C13-D13</x:f>
        <x:v>100000</x:v>
      </x:c>
      <x:c r="F13" s="60" t="str">
        <x:v>灯具数量×服务商运维现金成本单价</x:v>
      </x:c>
      <x:c r="G13" s="60" t="str">
        <x:v>服务商成本</x:v>
      </x:c>
      <x:c r="H13" s="60" t="str">
        <x:v>成本为正数，净现金流中扣减</x:v>
      </x:c>
    </x:row>
    <x:row r="14">
      <x:c r="A14" s="45" t="str">
        <x:v>平台/管理/AI成本</x:v>
      </x:c>
      <x:c r="B14" s="45" t="str">
        <x:v>元/年</x:v>
      </x:c>
      <x:c r="C14" s="78" t="n">
        <x:f>'02_Inputs'!D23</x:f>
        <x:v>150000</x:v>
      </x:c>
      <x:c r="D14" s="78" t="n">
        <x:f>'02_Inputs'!D33</x:f>
        <x:v>350000</x:v>
      </x:c>
      <x:c r="E14" s="78" t="n">
        <x:f>C14-D14</x:f>
        <x:v>-200000</x:v>
      </x:c>
      <x:c r="F14" s="60" t="str">
        <x:v>来自输入假设</x:v>
      </x:c>
      <x:c r="G14" s="60" t="str">
        <x:v>服务商成本</x:v>
      </x:c>
      <x:c r="H14" s="60" t="str">
        <x:v>成本为正数，净现金流中扣减</x:v>
      </x:c>
    </x:row>
    <x:row r="15">
      <x:c r="A15" s="45" t="str">
        <x:v>备件/升级储备</x:v>
      </x:c>
      <x:c r="B15" s="45" t="str">
        <x:v>元/年</x:v>
      </x:c>
      <x:c r="C15" s="78" t="n">
        <x:f>'02_Inputs'!D24</x:f>
        <x:v>50000</x:v>
      </x:c>
      <x:c r="D15" s="78" t="n">
        <x:f>'02_Inputs'!D34</x:f>
        <x:v>150000</x:v>
      </x:c>
      <x:c r="E15" s="78" t="n">
        <x:f>C15-D15</x:f>
        <x:v>-100000</x:v>
      </x:c>
      <x:c r="F15" s="60" t="str">
        <x:v>来自输入假设</x:v>
      </x:c>
      <x:c r="G15" s="60" t="str">
        <x:v>服务商成本</x:v>
      </x:c>
      <x:c r="H15" s="60" t="str">
        <x:v>成本为正数，净现金流中扣减</x:v>
      </x:c>
    </x:row>
    <x:row r="16">
      <x:c r="A16" s="79" t="str">
        <x:v>服务商年度收入合计</x:v>
      </x:c>
      <x:c r="B16" s="79" t="str">
        <x:v>元/年</x:v>
      </x:c>
      <x:c r="C16" s="80" t="n">
        <x:f>C6+C7</x:f>
        <x:v>1000000</x:v>
      </x:c>
      <x:c r="D16" s="80" t="n">
        <x:f>D6+D7</x:f>
        <x:v>1000000</x:v>
      </x:c>
      <x:c r="E16" s="80" t="n">
        <x:f>D16-C16</x:f>
        <x:v>0</x:v>
      </x:c>
      <x:c r="F16" s="89" t="str">
        <x:v>服务/订阅收入+其他/第三方收入</x:v>
      </x:c>
      <x:c r="G16" s="89" t="str">
        <x:v>服务商</x:v>
      </x:c>
      <x:c r="H16" s="89" t="str">
        <x:v>不含资产转让一次性收入</x:v>
      </x:c>
    </x:row>
    <x:row r="17">
      <x:c r="A17" s="79" t="str">
        <x:v>服务商年度现金成本合计</x:v>
      </x:c>
      <x:c r="B17" s="79" t="str">
        <x:v>元/年</x:v>
      </x:c>
      <x:c r="C17" s="80" t="n">
        <x:f>C11+C13+C14+C15</x:f>
        <x:v>600000</x:v>
      </x:c>
      <x:c r="D17" s="80" t="n">
        <x:f>D11+D13+D14+D15</x:f>
        <x:v>800000</x:v>
      </x:c>
      <x:c r="E17" s="80" t="n">
        <x:f>C17-D17</x:f>
        <x:v>-200000</x:v>
      </x:c>
      <x:c r="F17" s="89" t="str">
        <x:v>服务商电费成本+运维成本+平台成本+备件储备</x:v>
      </x:c>
      <x:c r="G17" s="89" t="str">
        <x:v>服务商</x:v>
      </x:c>
      <x:c r="H17" s="89" t="str">
        <x:v>不含初始CAPEX</x:v>
      </x:c>
    </x:row>
    <x:row r="18">
      <x:c r="A18" s="79" t="str">
        <x:v>服务商年度净经营现金流</x:v>
      </x:c>
      <x:c r="B18" s="79" t="str">
        <x:v>元/年</x:v>
      </x:c>
      <x:c r="C18" s="80" t="n">
        <x:f>C16-C17</x:f>
        <x:v>400000</x:v>
      </x:c>
      <x:c r="D18" s="80" t="n">
        <x:f>D16-D17</x:f>
        <x:v>200000</x:v>
      </x:c>
      <x:c r="E18" s="80" t="n">
        <x:f>D18-C18</x:f>
        <x:v>-200000</x:v>
      </x:c>
      <x:c r="F18" s="89" t="str">
        <x:v>收入合计−现金成本合计</x:v>
      </x:c>
      <x:c r="G18" s="89" t="str">
        <x:v>服务商</x:v>
      </x:c>
      <x:c r="H18" s="89" t="str">
        <x:v>不含Y0 CAPEX</x:v>
      </x:c>
    </x:row>
    <x:row r="19">
      <x:c r="A19" s="79" t="str">
        <x:v>业主年度总支出</x:v>
      </x:c>
      <x:c r="B19" s="79" t="str">
        <x:v>元/年</x:v>
      </x:c>
      <x:c r="C19" s="80" t="n">
        <x:f>C12+C6+'02_Inputs'!D17</x:f>
        <x:v>1752812.5</x:v>
      </x:c>
      <x:c r="D19" s="80" t="n">
        <x:f>D12+D6+'02_Inputs'!D17</x:f>
        <x:v>1632362.5</x:v>
      </x:c>
      <x:c r="E19" s="80" t="n">
        <x:f>C19-D19</x:f>
        <x:v>120450</x:v>
      </x:c>
      <x:c r="F19" s="89" t="str">
        <x:v>业主支付电费+服务/订阅费+业主保留管理成本</x:v>
      </x:c>
      <x:c r="G19" s="89" t="str">
        <x:v>业主</x:v>
      </x:c>
      <x:c r="H19" s="89" t="str">
        <x:v>不包含服务商第三方收入</x:v>
      </x:c>
    </x:row>
    <x:row r="20">
      <x:c r="A20" s="79" t="str">
        <x:v>业主年度净节省</x:v>
      </x:c>
      <x:c r="B20" s="79" t="str">
        <x:v>元/年</x:v>
      </x:c>
      <x:c r="C20" s="80" t="n">
        <x:f>'03_Baseline'!D15-C19</x:f>
        <x:v>252812.5</x:v>
      </x:c>
      <x:c r="D20" s="80" t="n">
        <x:f>'03_Baseline'!D15-D19</x:f>
        <x:v>373262.5</x:v>
      </x:c>
      <x:c r="E20" s="80" t="n">
        <x:f>D20-C20</x:f>
        <x:v>120450</x:v>
      </x:c>
      <x:c r="F20" s="89" t="str">
        <x:v>基准年总成本−业主年度总支出</x:v>
      </x:c>
      <x:c r="G20" s="89" t="str">
        <x:v>业主</x:v>
      </x:c>
      <x:c r="H20" s="89" t="str">
        <x:v>正数表示业主省钱</x:v>
      </x:c>
    </x:row>
    <x:row r="21">
      <x:c r="A21" s="79" t="str">
        <x:v>业主节省率</x:v>
      </x:c>
      <x:c r="B21" s="79" t="str">
        <x:v>%</x:v>
      </x:c>
      <x:c r="C21" s="101" t="n">
        <x:f>C20/'03_Baseline'!D15</x:f>
        <x:v>0.12605172951075103</x:v>
      </x:c>
      <x:c r="D21" s="101" t="n">
        <x:f>D20/'03_Baseline'!D15</x:f>
        <x:v>0.1861078217513244</x:v>
      </x:c>
      <x:c r="E21" s="101" t="n">
        <x:f>D21-C21</x:f>
        <x:v>0.06005609224057337</x:v>
      </x:c>
      <x:c r="F21" s="89" t="str">
        <x:v>业主净节省÷基准年总成本</x:v>
      </x:c>
      <x:c r="G21" s="89" t="str">
        <x:v>业主</x:v>
      </x:c>
      <x:c r="H21" s="89" t="str">
        <x:v>用于判断业主接受度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6" customHeight="1">
      <x:c r="A1" s="3" t="str">
        <x:v>年度现金流模型｜显性减法与承担方拆分版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本版修正：成本行全部为正数；净现金流=收入−成本；服务商其他/第三方收入不自动算作业主支出；电费按“是否由服务商承担”开关在服务商与业主之间分配。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44" t="str">
        <x:v>模块</x:v>
      </x:c>
      <x:c r="B4" s="44" t="str">
        <x:v>指标</x:v>
      </x:c>
      <x:c r="C4" s="44" t="str">
        <x:v>Y0</x:v>
      </x:c>
      <x:c r="D4" s="44" t="str">
        <x:v>Y1</x:v>
      </x:c>
      <x:c r="E4" s="44" t="str">
        <x:v>Y2</x:v>
      </x:c>
      <x:c r="F4" s="44" t="str">
        <x:v>Y3</x:v>
      </x:c>
      <x:c r="G4" s="44" t="str">
        <x:v>Y4</x:v>
      </x:c>
      <x:c r="H4" s="44" t="str">
        <x:v>Y5</x:v>
      </x:c>
      <x:c r="I4" s="44" t="str">
        <x:v>Y6</x:v>
      </x:c>
      <x:c r="J4" s="44" t="str">
        <x:v>Y7</x:v>
      </x:c>
      <x:c r="K4" s="44" t="str">
        <x:v>Y8</x:v>
      </x:c>
      <x:c r="L4" s="44" t="str">
        <x:v>Y9</x:v>
      </x:c>
      <x:c r="M4" s="44" t="str">
        <x:v>Y10</x:v>
      </x:c>
    </x:row>
    <x:row r="5">
      <x:c r="A5" s="50" t="str">
        <x:v>A. 基准情形（不改造）</x:v>
      </x:c>
      <x:c r="B5" s="50" t="str"/>
      <x:c r="C5" s="50"/>
      <x:c r="D5" s="50"/>
      <x:c r="E5" s="50"/>
      <x:c r="F5" s="50"/>
      <x:c r="G5" s="50"/>
      <x:c r="H5" s="50"/>
      <x:c r="I5" s="50"/>
      <x:c r="J5" s="50"/>
      <x:c r="K5" s="50"/>
      <x:c r="L5" s="50"/>
      <x:c r="M5" s="50"/>
    </x:row>
    <x:row r="6">
      <x:c r="A6" s="45" t="str">
        <x:v>基准</x:v>
      </x:c>
      <x:c r="B6" s="45" t="str">
        <x:v>基准年电费</x:v>
      </x:c>
      <x:c r="C6" s="104" t="n">
        <x:f>0</x:f>
        <x:v>0</x:v>
      </x:c>
      <x:c r="D6" s="104" t="n">
        <x:f>'03_Baseline'!$D$12*(1+'02_Inputs'!$D$14)^(1-1)</x:f>
        <x:v>1505625</x:v>
      </x:c>
      <x:c r="E6" s="104" t="n">
        <x:f>'03_Baseline'!$D$12*(1+'02_Inputs'!$D$14)^(2-1)</x:f>
        <x:v>1505625</x:v>
      </x:c>
      <x:c r="F6" s="104" t="n">
        <x:f>'03_Baseline'!$D$12*(1+'02_Inputs'!$D$14)^(3-1)</x:f>
        <x:v>1505625</x:v>
      </x:c>
      <x:c r="G6" s="104" t="n">
        <x:f>'03_Baseline'!$D$12*(1+'02_Inputs'!$D$14)^(4-1)</x:f>
        <x:v>1505625</x:v>
      </x:c>
      <x:c r="H6" s="104" t="n">
        <x:f>'03_Baseline'!$D$12*(1+'02_Inputs'!$D$14)^(5-1)</x:f>
        <x:v>1505625</x:v>
      </x:c>
      <x:c r="I6" s="104" t="n">
        <x:f>'03_Baseline'!$D$12*(1+'02_Inputs'!$D$14)^(6-1)</x:f>
        <x:v>1505625</x:v>
      </x:c>
      <x:c r="J6" s="104" t="n">
        <x:f>'03_Baseline'!$D$12*(1+'02_Inputs'!$D$14)^(7-1)</x:f>
        <x:v>1505625</x:v>
      </x:c>
      <x:c r="K6" s="104" t="n">
        <x:f>'03_Baseline'!$D$12*(1+'02_Inputs'!$D$14)^(8-1)</x:f>
        <x:v>1505625</x:v>
      </x:c>
      <x:c r="L6" s="104" t="n">
        <x:f>'03_Baseline'!$D$12*(1+'02_Inputs'!$D$14)^(9-1)</x:f>
        <x:v>1505625</x:v>
      </x:c>
      <x:c r="M6" s="104" t="n">
        <x:f>'03_Baseline'!$D$12*(1+'02_Inputs'!$D$14)^(10-1)</x:f>
        <x:v>1505625</x:v>
      </x:c>
    </x:row>
    <x:row r="7">
      <x:c r="A7" s="45" t="str">
        <x:v>基准</x:v>
      </x:c>
      <x:c r="B7" s="45" t="str">
        <x:v>基准年运维费</x:v>
      </x:c>
      <x:c r="C7" s="104" t="n">
        <x:f>0</x:f>
        <x:v>0</x:v>
      </x:c>
      <x:c r="D7" s="104" t="n">
        <x:f>'03_Baseline'!$D$14*(1+'02_Inputs'!$D$15)^(1-1)</x:f>
        <x:v>500000</x:v>
      </x:c>
      <x:c r="E7" s="104" t="n">
        <x:f>'03_Baseline'!$D$14*(1+'02_Inputs'!$D$15)^(2-1)</x:f>
        <x:v>500000</x:v>
      </x:c>
      <x:c r="F7" s="104" t="n">
        <x:f>'03_Baseline'!$D$14*(1+'02_Inputs'!$D$15)^(3-1)</x:f>
        <x:v>500000</x:v>
      </x:c>
      <x:c r="G7" s="104" t="n">
        <x:f>'03_Baseline'!$D$14*(1+'02_Inputs'!$D$15)^(4-1)</x:f>
        <x:v>500000</x:v>
      </x:c>
      <x:c r="H7" s="104" t="n">
        <x:f>'03_Baseline'!$D$14*(1+'02_Inputs'!$D$15)^(5-1)</x:f>
        <x:v>500000</x:v>
      </x:c>
      <x:c r="I7" s="104" t="n">
        <x:f>'03_Baseline'!$D$14*(1+'02_Inputs'!$D$15)^(6-1)</x:f>
        <x:v>500000</x:v>
      </x:c>
      <x:c r="J7" s="104" t="n">
        <x:f>'03_Baseline'!$D$14*(1+'02_Inputs'!$D$15)^(7-1)</x:f>
        <x:v>500000</x:v>
      </x:c>
      <x:c r="K7" s="104" t="n">
        <x:f>'03_Baseline'!$D$14*(1+'02_Inputs'!$D$15)^(8-1)</x:f>
        <x:v>500000</x:v>
      </x:c>
      <x:c r="L7" s="104" t="n">
        <x:f>'03_Baseline'!$D$14*(1+'02_Inputs'!$D$15)^(9-1)</x:f>
        <x:v>500000</x:v>
      </x:c>
      <x:c r="M7" s="104" t="n">
        <x:f>'03_Baseline'!$D$14*(1+'02_Inputs'!$D$15)^(10-1)</x:f>
        <x:v>500000</x:v>
      </x:c>
    </x:row>
    <x:row r="8">
      <x:c r="A8" s="45" t="str">
        <x:v>基准</x:v>
      </x:c>
      <x:c r="B8" s="45" t="str">
        <x:v>基准年总成本</x:v>
      </x:c>
      <x:c r="C8" s="104" t="n">
        <x:f>0</x:f>
        <x:v>0</x:v>
      </x:c>
      <x:c r="D8" s="104" t="n">
        <x:f>D6+D7</x:f>
        <x:v>2005625</x:v>
      </x:c>
      <x:c r="E8" s="104" t="n">
        <x:f>E6+E7</x:f>
        <x:v>2005625</x:v>
      </x:c>
      <x:c r="F8" s="104" t="n">
        <x:f>F6+F7</x:f>
        <x:v>2005625</x:v>
      </x:c>
      <x:c r="G8" s="104" t="n">
        <x:f>G6+G7</x:f>
        <x:v>2005625</x:v>
      </x:c>
      <x:c r="H8" s="104" t="n">
        <x:f>H6+H7</x:f>
        <x:v>2005625</x:v>
      </x:c>
      <x:c r="I8" s="104" t="n">
        <x:f>I6+I7</x:f>
        <x:v>2005625</x:v>
      </x:c>
      <x:c r="J8" s="104" t="n">
        <x:f>J6+J7</x:f>
        <x:v>2005625</x:v>
      </x:c>
      <x:c r="K8" s="104" t="n">
        <x:f>K6+K7</x:f>
        <x:v>2005625</x:v>
      </x:c>
      <x:c r="L8" s="104" t="n">
        <x:f>L6+L7</x:f>
        <x:v>2005625</x:v>
      </x:c>
      <x:c r="M8" s="104" t="n">
        <x:f>M6+M7</x:f>
        <x:v>2005625</x:v>
      </x:c>
    </x:row>
    <x:row r="9">
      <x:c r="A9" s="45" t="str">
        <x:v>基准</x:v>
      </x:c>
      <x:c r="B9" s="45" t="str">
        <x:v>业主年度预算</x:v>
      </x:c>
      <x:c r="C9" s="104" t="n">
        <x:f>0</x:f>
        <x:v>0</x:v>
      </x:c>
      <x:c r="D9" s="104" t="n">
        <x:f>'02_Inputs'!$D$7*(1+'02_Inputs'!$D$16)^(1-1)</x:f>
        <x:v>1000000</x:v>
      </x:c>
      <x:c r="E9" s="104" t="n">
        <x:f>'02_Inputs'!$D$7*(1+'02_Inputs'!$D$16)^(2-1)</x:f>
        <x:v>1000000</x:v>
      </x:c>
      <x:c r="F9" s="104" t="n">
        <x:f>'02_Inputs'!$D$7*(1+'02_Inputs'!$D$16)^(3-1)</x:f>
        <x:v>1000000</x:v>
      </x:c>
      <x:c r="G9" s="104" t="n">
        <x:f>'02_Inputs'!$D$7*(1+'02_Inputs'!$D$16)^(4-1)</x:f>
        <x:v>1000000</x:v>
      </x:c>
      <x:c r="H9" s="104" t="n">
        <x:f>'02_Inputs'!$D$7*(1+'02_Inputs'!$D$16)^(5-1)</x:f>
        <x:v>1000000</x:v>
      </x:c>
      <x:c r="I9" s="104" t="n">
        <x:f>'02_Inputs'!$D$7*(1+'02_Inputs'!$D$16)^(6-1)</x:f>
        <x:v>1000000</x:v>
      </x:c>
      <x:c r="J9" s="104" t="n">
        <x:f>'02_Inputs'!$D$7*(1+'02_Inputs'!$D$16)^(7-1)</x:f>
        <x:v>1000000</x:v>
      </x:c>
      <x:c r="K9" s="104" t="n">
        <x:f>'02_Inputs'!$D$7*(1+'02_Inputs'!$D$16)^(8-1)</x:f>
        <x:v>1000000</x:v>
      </x:c>
      <x:c r="L9" s="104" t="n">
        <x:f>'02_Inputs'!$D$7*(1+'02_Inputs'!$D$16)^(9-1)</x:f>
        <x:v>1000000</x:v>
      </x:c>
      <x:c r="M9" s="104" t="n">
        <x:f>'02_Inputs'!$D$7*(1+'02_Inputs'!$D$16)^(10-1)</x:f>
        <x:v>1000000</x:v>
      </x:c>
    </x:row>
    <x:row r="10">
      <x:c r="A10" s="45" t="str"/>
      <x:c r="B10" s="45" t="str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</x:row>
    <x:row r="11">
      <x:c r="A11" s="50" t="str">
        <x:v>B. 能源托管/EMC｜服务商现金流</x:v>
      </x:c>
      <x:c r="B11" s="50" t="str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</x:row>
    <x:row r="12">
      <x:c r="A12" s="45" t="str">
        <x:v>能源托管/EMC｜服务商</x:v>
      </x:c>
      <x:c r="B12" s="45" t="str">
        <x:v>初始CAPEX支出（正数，扣减）</x:v>
      </x:c>
      <x:c r="C12" s="78" t="n">
        <x:f>'04_Mode_Params'!$C$5</x:f>
        <x:v>5000000</x:v>
      </x:c>
      <x:c r="D12" s="78" t="n">
        <x:f>0</x:f>
        <x:v>0</x:v>
      </x:c>
      <x:c r="E12" s="78" t="n">
        <x:f>0</x:f>
        <x:v>0</x:v>
      </x:c>
      <x:c r="F12" s="78" t="n">
        <x:f>0</x:f>
        <x:v>0</x:v>
      </x:c>
      <x:c r="G12" s="78" t="n">
        <x:f>0</x:f>
        <x:v>0</x:v>
      </x:c>
      <x:c r="H12" s="78" t="n">
        <x:f>0</x:f>
        <x:v>0</x:v>
      </x:c>
      <x:c r="I12" s="78" t="n">
        <x:f>0</x:f>
        <x:v>0</x:v>
      </x:c>
      <x:c r="J12" s="78" t="n">
        <x:f>0</x:f>
        <x:v>0</x:v>
      </x:c>
      <x:c r="K12" s="78" t="n">
        <x:f>0</x:f>
        <x:v>0</x:v>
      </x:c>
      <x:c r="L12" s="78" t="n">
        <x:f>0</x:f>
        <x:v>0</x:v>
      </x:c>
      <x:c r="M12" s="78" t="n">
        <x:f>0</x:f>
        <x:v>0</x:v>
      </x:c>
    </x:row>
    <x:row r="13">
      <x:c r="A13" s="45" t="str">
        <x:v>能源托管/EMC｜服务商</x:v>
      </x:c>
      <x:c r="B13" s="45" t="str">
        <x:v>固定服务费收入</x:v>
      </x:c>
      <x:c r="C13" s="104" t="n">
        <x:f>0</x:f>
        <x:v>0</x:v>
      </x:c>
      <x:c r="D13" s="104" t="n">
        <x:f>'04_Mode_Params'!$C$6*(1+'02_Inputs'!$D$16)^(1-1)</x:f>
        <x:v>1000000</x:v>
      </x:c>
      <x:c r="E13" s="104" t="n">
        <x:f>'04_Mode_Params'!$C$6*(1+'02_Inputs'!$D$16)^(2-1)</x:f>
        <x:v>1000000</x:v>
      </x:c>
      <x:c r="F13" s="104" t="n">
        <x:f>'04_Mode_Params'!$C$6*(1+'02_Inputs'!$D$16)^(3-1)</x:f>
        <x:v>1000000</x:v>
      </x:c>
      <x:c r="G13" s="104" t="n">
        <x:f>'04_Mode_Params'!$C$6*(1+'02_Inputs'!$D$16)^(4-1)</x:f>
        <x:v>1000000</x:v>
      </x:c>
      <x:c r="H13" s="104" t="n">
        <x:f>'04_Mode_Params'!$C$6*(1+'02_Inputs'!$D$16)^(5-1)</x:f>
        <x:v>1000000</x:v>
      </x:c>
      <x:c r="I13" s="104" t="n">
        <x:f>'04_Mode_Params'!$C$6*(1+'02_Inputs'!$D$16)^(6-1)</x:f>
        <x:v>1000000</x:v>
      </x:c>
      <x:c r="J13" s="104" t="n">
        <x:f>'04_Mode_Params'!$C$6*(1+'02_Inputs'!$D$16)^(7-1)</x:f>
        <x:v>1000000</x:v>
      </x:c>
      <x:c r="K13" s="104" t="n">
        <x:f>'04_Mode_Params'!$C$6*(1+'02_Inputs'!$D$16)^(8-1)</x:f>
        <x:v>1000000</x:v>
      </x:c>
      <x:c r="L13" s="104" t="n">
        <x:f>'04_Mode_Params'!$C$6*(1+'02_Inputs'!$D$16)^(9-1)</x:f>
        <x:v>1000000</x:v>
      </x:c>
      <x:c r="M13" s="104" t="n">
        <x:f>'04_Mode_Params'!$C$6*(1+'02_Inputs'!$D$16)^(10-1)</x:f>
        <x:v>1000000</x:v>
      </x:c>
    </x:row>
    <x:row r="14">
      <x:c r="A14" s="45" t="str">
        <x:v>能源托管/EMC｜服务商</x:v>
      </x:c>
      <x:c r="B14" s="45" t="str">
        <x:v>其他/第三方收入</x:v>
      </x:c>
      <x:c r="C14" s="104" t="n">
        <x:f>0</x:f>
        <x:v>0</x:v>
      </x:c>
      <x:c r="D14" s="104" t="n">
        <x:f>'04_Mode_Params'!$C$7*(1+'02_Inputs'!$D$16)^(1-1)</x:f>
        <x:v>0</x:v>
      </x:c>
      <x:c r="E14" s="104" t="n">
        <x:f>'04_Mode_Params'!$C$7*(1+'02_Inputs'!$D$16)^(2-1)</x:f>
        <x:v>0</x:v>
      </x:c>
      <x:c r="F14" s="104" t="n">
        <x:f>'04_Mode_Params'!$C$7*(1+'02_Inputs'!$D$16)^(3-1)</x:f>
        <x:v>0</x:v>
      </x:c>
      <x:c r="G14" s="104" t="n">
        <x:f>'04_Mode_Params'!$C$7*(1+'02_Inputs'!$D$16)^(4-1)</x:f>
        <x:v>0</x:v>
      </x:c>
      <x:c r="H14" s="104" t="n">
        <x:f>'04_Mode_Params'!$C$7*(1+'02_Inputs'!$D$16)^(5-1)</x:f>
        <x:v>0</x:v>
      </x:c>
      <x:c r="I14" s="104" t="n">
        <x:f>'04_Mode_Params'!$C$7*(1+'02_Inputs'!$D$16)^(6-1)</x:f>
        <x:v>0</x:v>
      </x:c>
      <x:c r="J14" s="104" t="n">
        <x:f>'04_Mode_Params'!$C$7*(1+'02_Inputs'!$D$16)^(7-1)</x:f>
        <x:v>0</x:v>
      </x:c>
      <x:c r="K14" s="104" t="n">
        <x:f>'04_Mode_Params'!$C$7*(1+'02_Inputs'!$D$16)^(8-1)</x:f>
        <x:v>0</x:v>
      </x:c>
      <x:c r="L14" s="104" t="n">
        <x:f>'04_Mode_Params'!$C$7*(1+'02_Inputs'!$D$16)^(9-1)</x:f>
        <x:v>0</x:v>
      </x:c>
      <x:c r="M14" s="104" t="n">
        <x:f>'04_Mode_Params'!$C$7*(1+'02_Inputs'!$D$16)^(10-1)</x:f>
        <x:v>0</x:v>
      </x:c>
    </x:row>
    <x:row r="15">
      <x:c r="A15" s="45" t="str">
        <x:v>能源托管/EMC｜服务商</x:v>
      </x:c>
      <x:c r="B15" s="45" t="str">
        <x:v>资产转让收入</x:v>
      </x:c>
      <x:c r="C15" s="104" t="n">
        <x:f>0</x:f>
        <x:v>0</x:v>
      </x:c>
      <x:c r="D15" s="104" t="n">
        <x:f>IF(AND(1='02_Inputs'!$D$26,1&gt;0),'02_Inputs'!$D$27,0)</x:f>
        <x:v>0</x:v>
      </x:c>
      <x:c r="E15" s="104" t="n">
        <x:f>IF(AND(2='02_Inputs'!$D$26,2&gt;0),'02_Inputs'!$D$27,0)</x:f>
        <x:v>0</x:v>
      </x:c>
      <x:c r="F15" s="104" t="n">
        <x:f>IF(AND(3='02_Inputs'!$D$26,3&gt;0),'02_Inputs'!$D$27,0)</x:f>
        <x:v>0</x:v>
      </x:c>
      <x:c r="G15" s="104" t="n">
        <x:f>IF(AND(4='02_Inputs'!$D$26,4&gt;0),'02_Inputs'!$D$27,0)</x:f>
        <x:v>0</x:v>
      </x:c>
      <x:c r="H15" s="104" t="n">
        <x:f>IF(AND(5='02_Inputs'!$D$26,5&gt;0),'02_Inputs'!$D$27,0)</x:f>
        <x:v>0</x:v>
      </x:c>
      <x:c r="I15" s="104" t="n">
        <x:f>IF(AND(6='02_Inputs'!$D$26,6&gt;0),'02_Inputs'!$D$27,0)</x:f>
        <x:v>0</x:v>
      </x:c>
      <x:c r="J15" s="104" t="n">
        <x:f>IF(AND(7='02_Inputs'!$D$26,7&gt;0),'02_Inputs'!$D$27,0)</x:f>
        <x:v>0</x:v>
      </x:c>
      <x:c r="K15" s="104" t="n">
        <x:f>IF(AND(8='02_Inputs'!$D$26,8&gt;0),'02_Inputs'!$D$27,0)</x:f>
        <x:v>0</x:v>
      </x:c>
      <x:c r="L15" s="104" t="n">
        <x:f>IF(AND(9='02_Inputs'!$D$26,9&gt;0),'02_Inputs'!$D$27,0)</x:f>
        <x:v>0</x:v>
      </x:c>
      <x:c r="M15" s="104" t="n">
        <x:f>IF(AND(10='02_Inputs'!$D$26,10&gt;0),'02_Inputs'!$D$27,0)</x:f>
        <x:v>0</x:v>
      </x:c>
    </x:row>
    <x:row r="16">
      <x:c r="A16" s="45" t="str">
        <x:v>能源托管/EMC｜服务商</x:v>
      </x:c>
      <x:c r="B16" s="45" t="str">
        <x:v>节电后电费总额</x:v>
      </x:c>
      <x:c r="C16" s="104" t="n">
        <x:f>0</x:f>
        <x:v>0</x:v>
      </x:c>
      <x:c r="D16" s="104" t="n">
        <x:f>D6*(1-'04_Mode_Params'!$C$8)</x:f>
        <x:v>752812.5</x:v>
      </x:c>
      <x:c r="E16" s="104" t="n">
        <x:f>E6*(1-'04_Mode_Params'!$C$8)</x:f>
        <x:v>752812.5</x:v>
      </x:c>
      <x:c r="F16" s="104" t="n">
        <x:f>F6*(1-'04_Mode_Params'!$C$8)</x:f>
        <x:v>752812.5</x:v>
      </x:c>
      <x:c r="G16" s="104" t="n">
        <x:f>G6*(1-'04_Mode_Params'!$C$8)</x:f>
        <x:v>752812.5</x:v>
      </x:c>
      <x:c r="H16" s="104" t="n">
        <x:f>H6*(1-'04_Mode_Params'!$C$8)</x:f>
        <x:v>752812.5</x:v>
      </x:c>
      <x:c r="I16" s="104" t="n">
        <x:f>I6*(1-'04_Mode_Params'!$C$8)</x:f>
        <x:v>752812.5</x:v>
      </x:c>
      <x:c r="J16" s="104" t="n">
        <x:f>J6*(1-'04_Mode_Params'!$C$8)</x:f>
        <x:v>752812.5</x:v>
      </x:c>
      <x:c r="K16" s="104" t="n">
        <x:f>K6*(1-'04_Mode_Params'!$C$8)</x:f>
        <x:v>752812.5</x:v>
      </x:c>
      <x:c r="L16" s="104" t="n">
        <x:f>L6*(1-'04_Mode_Params'!$C$8)</x:f>
        <x:v>752812.5</x:v>
      </x:c>
      <x:c r="M16" s="104" t="n">
        <x:f>M6*(1-'04_Mode_Params'!$C$8)</x:f>
        <x:v>752812.5</x:v>
      </x:c>
    </x:row>
    <x:row r="17">
      <x:c r="A17" s="45" t="str">
        <x:v>能源托管/EMC｜服务商</x:v>
      </x:c>
      <x:c r="B17" s="45" t="str">
        <x:v>服务商承担电费成本（正数，扣减）</x:v>
      </x:c>
      <x:c r="C17" s="78" t="n">
        <x:f>0</x:f>
        <x:v>0</x:v>
      </x:c>
      <x:c r="D17" s="78" t="n">
        <x:f>D16*'04_Mode_Params'!$C$10</x:f>
        <x:v>0</x:v>
      </x:c>
      <x:c r="E17" s="78" t="n">
        <x:f>E16*'04_Mode_Params'!$C$10</x:f>
        <x:v>0</x:v>
      </x:c>
      <x:c r="F17" s="78" t="n">
        <x:f>F16*'04_Mode_Params'!$C$10</x:f>
        <x:v>0</x:v>
      </x:c>
      <x:c r="G17" s="78" t="n">
        <x:f>G16*'04_Mode_Params'!$C$10</x:f>
        <x:v>0</x:v>
      </x:c>
      <x:c r="H17" s="78" t="n">
        <x:f>H16*'04_Mode_Params'!$C$10</x:f>
        <x:v>0</x:v>
      </x:c>
      <x:c r="I17" s="78" t="n">
        <x:f>I16*'04_Mode_Params'!$C$10</x:f>
        <x:v>0</x:v>
      </x:c>
      <x:c r="J17" s="78" t="n">
        <x:f>J16*'04_Mode_Params'!$C$10</x:f>
        <x:v>0</x:v>
      </x:c>
      <x:c r="K17" s="78" t="n">
        <x:f>K16*'04_Mode_Params'!$C$10</x:f>
        <x:v>0</x:v>
      </x:c>
      <x:c r="L17" s="78" t="n">
        <x:f>L16*'04_Mode_Params'!$C$10</x:f>
        <x:v>0</x:v>
      </x:c>
      <x:c r="M17" s="78" t="n">
        <x:f>M16*'04_Mode_Params'!$C$10</x:f>
        <x:v>0</x:v>
      </x:c>
    </x:row>
    <x:row r="18">
      <x:c r="A18" s="45" t="str">
        <x:v>能源托管/EMC｜服务商</x:v>
      </x:c>
      <x:c r="B18" s="45" t="str">
        <x:v>运维成本（正数，扣减）</x:v>
      </x:c>
      <x:c r="C18" s="78" t="n">
        <x:f>0</x:f>
        <x:v>0</x:v>
      </x:c>
      <x:c r="D18" s="78" t="n">
        <x:f>'04_Mode_Params'!$C$13*(1+'02_Inputs'!$D$15)^(1-1)</x:f>
        <x:v>400000</x:v>
      </x:c>
      <x:c r="E18" s="78" t="n">
        <x:f>'04_Mode_Params'!$C$13*(1+'02_Inputs'!$D$15)^(2-1)</x:f>
        <x:v>400000</x:v>
      </x:c>
      <x:c r="F18" s="78" t="n">
        <x:f>'04_Mode_Params'!$C$13*(1+'02_Inputs'!$D$15)^(3-1)</x:f>
        <x:v>400000</x:v>
      </x:c>
      <x:c r="G18" s="78" t="n">
        <x:f>'04_Mode_Params'!$C$13*(1+'02_Inputs'!$D$15)^(4-1)</x:f>
        <x:v>400000</x:v>
      </x:c>
      <x:c r="H18" s="78" t="n">
        <x:f>'04_Mode_Params'!$C$13*(1+'02_Inputs'!$D$15)^(5-1)</x:f>
        <x:v>400000</x:v>
      </x:c>
      <x:c r="I18" s="78" t="n">
        <x:f>'04_Mode_Params'!$C$13*(1+'02_Inputs'!$D$15)^(6-1)</x:f>
        <x:v>400000</x:v>
      </x:c>
      <x:c r="J18" s="78" t="n">
        <x:f>'04_Mode_Params'!$C$13*(1+'02_Inputs'!$D$15)^(7-1)</x:f>
        <x:v>400000</x:v>
      </x:c>
      <x:c r="K18" s="78" t="n">
        <x:f>'04_Mode_Params'!$C$13*(1+'02_Inputs'!$D$15)^(8-1)</x:f>
        <x:v>400000</x:v>
      </x:c>
      <x:c r="L18" s="78" t="n">
        <x:f>'04_Mode_Params'!$C$13*(1+'02_Inputs'!$D$15)^(9-1)</x:f>
        <x:v>400000</x:v>
      </x:c>
      <x:c r="M18" s="78" t="n">
        <x:f>'04_Mode_Params'!$C$13*(1+'02_Inputs'!$D$15)^(10-1)</x:f>
        <x:v>400000</x:v>
      </x:c>
    </x:row>
    <x:row r="19">
      <x:c r="A19" s="45" t="str">
        <x:v>能源托管/EMC｜服务商</x:v>
      </x:c>
      <x:c r="B19" s="45" t="str">
        <x:v>平台/管理成本（正数，扣减）</x:v>
      </x:c>
      <x:c r="C19" s="78" t="n">
        <x:f>0</x:f>
        <x:v>0</x:v>
      </x:c>
      <x:c r="D19" s="78" t="n">
        <x:f>'04_Mode_Params'!$C$14*(1+'02_Inputs'!$D$15)^(1-1)</x:f>
        <x:v>150000</x:v>
      </x:c>
      <x:c r="E19" s="78" t="n">
        <x:f>'04_Mode_Params'!$C$14*(1+'02_Inputs'!$D$15)^(2-1)</x:f>
        <x:v>150000</x:v>
      </x:c>
      <x:c r="F19" s="78" t="n">
        <x:f>'04_Mode_Params'!$C$14*(1+'02_Inputs'!$D$15)^(3-1)</x:f>
        <x:v>150000</x:v>
      </x:c>
      <x:c r="G19" s="78" t="n">
        <x:f>'04_Mode_Params'!$C$14*(1+'02_Inputs'!$D$15)^(4-1)</x:f>
        <x:v>150000</x:v>
      </x:c>
      <x:c r="H19" s="78" t="n">
        <x:f>'04_Mode_Params'!$C$14*(1+'02_Inputs'!$D$15)^(5-1)</x:f>
        <x:v>150000</x:v>
      </x:c>
      <x:c r="I19" s="78" t="n">
        <x:f>'04_Mode_Params'!$C$14*(1+'02_Inputs'!$D$15)^(6-1)</x:f>
        <x:v>150000</x:v>
      </x:c>
      <x:c r="J19" s="78" t="n">
        <x:f>'04_Mode_Params'!$C$14*(1+'02_Inputs'!$D$15)^(7-1)</x:f>
        <x:v>150000</x:v>
      </x:c>
      <x:c r="K19" s="78" t="n">
        <x:f>'04_Mode_Params'!$C$14*(1+'02_Inputs'!$D$15)^(8-1)</x:f>
        <x:v>150000</x:v>
      </x:c>
      <x:c r="L19" s="78" t="n">
        <x:f>'04_Mode_Params'!$C$14*(1+'02_Inputs'!$D$15)^(9-1)</x:f>
        <x:v>150000</x:v>
      </x:c>
      <x:c r="M19" s="78" t="n">
        <x:f>'04_Mode_Params'!$C$14*(1+'02_Inputs'!$D$15)^(10-1)</x:f>
        <x:v>150000</x:v>
      </x:c>
    </x:row>
    <x:row r="20">
      <x:c r="A20" s="45" t="str">
        <x:v>能源托管/EMC｜服务商</x:v>
      </x:c>
      <x:c r="B20" s="45" t="str">
        <x:v>备件/小改造储备（正数，扣减）</x:v>
      </x:c>
      <x:c r="C20" s="78" t="n">
        <x:f>0</x:f>
        <x:v>0</x:v>
      </x:c>
      <x:c r="D20" s="78" t="n">
        <x:f>'04_Mode_Params'!$C$15*(1+'02_Inputs'!$D$15)^(1-1)</x:f>
        <x:v>50000</x:v>
      </x:c>
      <x:c r="E20" s="78" t="n">
        <x:f>'04_Mode_Params'!$C$15*(1+'02_Inputs'!$D$15)^(2-1)</x:f>
        <x:v>50000</x:v>
      </x:c>
      <x:c r="F20" s="78" t="n">
        <x:f>'04_Mode_Params'!$C$15*(1+'02_Inputs'!$D$15)^(3-1)</x:f>
        <x:v>50000</x:v>
      </x:c>
      <x:c r="G20" s="78" t="n">
        <x:f>'04_Mode_Params'!$C$15*(1+'02_Inputs'!$D$15)^(4-1)</x:f>
        <x:v>50000</x:v>
      </x:c>
      <x:c r="H20" s="78" t="n">
        <x:f>'04_Mode_Params'!$C$15*(1+'02_Inputs'!$D$15)^(5-1)</x:f>
        <x:v>50000</x:v>
      </x:c>
      <x:c r="I20" s="78" t="n">
        <x:f>'04_Mode_Params'!$C$15*(1+'02_Inputs'!$D$15)^(6-1)</x:f>
        <x:v>50000</x:v>
      </x:c>
      <x:c r="J20" s="78" t="n">
        <x:f>'04_Mode_Params'!$C$15*(1+'02_Inputs'!$D$15)^(7-1)</x:f>
        <x:v>50000</x:v>
      </x:c>
      <x:c r="K20" s="78" t="n">
        <x:f>'04_Mode_Params'!$C$15*(1+'02_Inputs'!$D$15)^(8-1)</x:f>
        <x:v>50000</x:v>
      </x:c>
      <x:c r="L20" s="78" t="n">
        <x:f>'04_Mode_Params'!$C$15*(1+'02_Inputs'!$D$15)^(9-1)</x:f>
        <x:v>50000</x:v>
      </x:c>
      <x:c r="M20" s="78" t="n">
        <x:f>'04_Mode_Params'!$C$15*(1+'02_Inputs'!$D$15)^(10-1)</x:f>
        <x:v>50000</x:v>
      </x:c>
    </x:row>
    <x:row r="21">
      <x:c r="A21" s="112" t="str">
        <x:v>能源托管/EMC｜服务商</x:v>
      </x:c>
      <x:c r="B21" s="112" t="str">
        <x:v>年度总收入</x:v>
      </x:c>
      <x:c r="C21" s="113" t="n">
        <x:f>0</x:f>
        <x:v>0</x:v>
      </x:c>
      <x:c r="D21" s="113" t="n">
        <x:f>D13+D14+D15</x:f>
        <x:v>1000000</x:v>
      </x:c>
      <x:c r="E21" s="113" t="n">
        <x:f>E13+E14+E15</x:f>
        <x:v>1000000</x:v>
      </x:c>
      <x:c r="F21" s="113" t="n">
        <x:f>F13+F14+F15</x:f>
        <x:v>1000000</x:v>
      </x:c>
      <x:c r="G21" s="113" t="n">
        <x:f>G13+G14+G15</x:f>
        <x:v>1000000</x:v>
      </x:c>
      <x:c r="H21" s="113" t="n">
        <x:f>H13+H14+H15</x:f>
        <x:v>1000000</x:v>
      </x:c>
      <x:c r="I21" s="113" t="n">
        <x:f>I13+I14+I15</x:f>
        <x:v>1000000</x:v>
      </x:c>
      <x:c r="J21" s="113" t="n">
        <x:f>J13+J14+J15</x:f>
        <x:v>1000000</x:v>
      </x:c>
      <x:c r="K21" s="113" t="n">
        <x:f>K13+K14+K15</x:f>
        <x:v>1000000</x:v>
      </x:c>
      <x:c r="L21" s="113" t="n">
        <x:f>L13+L14+L15</x:f>
        <x:v>1000000</x:v>
      </x:c>
      <x:c r="M21" s="113" t="n">
        <x:f>M13+M14+M15</x:f>
        <x:v>1000000</x:v>
      </x:c>
    </x:row>
    <x:row r="22">
      <x:c r="A22" s="112" t="str">
        <x:v>能源托管/EMC｜服务商</x:v>
      </x:c>
      <x:c r="B22" s="112" t="str">
        <x:v>年度总现金成本</x:v>
      </x:c>
      <x:c r="C22" s="113" t="n">
        <x:f>C12</x:f>
        <x:v>5000000</x:v>
      </x:c>
      <x:c r="D22" s="113" t="n">
        <x:f>D12+D17+D18+D19+D20</x:f>
        <x:v>600000</x:v>
      </x:c>
      <x:c r="E22" s="113" t="n">
        <x:f>E12+E17+E18+E19+E20</x:f>
        <x:v>600000</x:v>
      </x:c>
      <x:c r="F22" s="113" t="n">
        <x:f>F12+F17+F18+F19+F20</x:f>
        <x:v>600000</x:v>
      </x:c>
      <x:c r="G22" s="113" t="n">
        <x:f>G12+G17+G18+G19+G20</x:f>
        <x:v>600000</x:v>
      </x:c>
      <x:c r="H22" s="113" t="n">
        <x:f>H12+H17+H18+H19+H20</x:f>
        <x:v>600000</x:v>
      </x:c>
      <x:c r="I22" s="113" t="n">
        <x:f>I12+I17+I18+I19+I20</x:f>
        <x:v>600000</x:v>
      </x:c>
      <x:c r="J22" s="113" t="n">
        <x:f>J12+J17+J18+J19+J20</x:f>
        <x:v>600000</x:v>
      </x:c>
      <x:c r="K22" s="113" t="n">
        <x:f>K12+K17+K18+K19+K20</x:f>
        <x:v>600000</x:v>
      </x:c>
      <x:c r="L22" s="113" t="n">
        <x:f>L12+L17+L18+L19+L20</x:f>
        <x:v>600000</x:v>
      </x:c>
      <x:c r="M22" s="113" t="n">
        <x:f>M12+M17+M18+M19+M20</x:f>
        <x:v>600000</x:v>
      </x:c>
    </x:row>
    <x:row r="23">
      <x:c r="A23" s="112" t="str">
        <x:v>能源托管/EMC｜服务商</x:v>
      </x:c>
      <x:c r="B23" s="112" t="str">
        <x:v>年度净现金流</x:v>
      </x:c>
      <x:c r="C23" s="113" t="n">
        <x:f>C21-C22</x:f>
        <x:v>-5000000</x:v>
      </x:c>
      <x:c r="D23" s="113" t="n">
        <x:f>D21-D22</x:f>
        <x:v>400000</x:v>
      </x:c>
      <x:c r="E23" s="113" t="n">
        <x:f>E21-E22</x:f>
        <x:v>400000</x:v>
      </x:c>
      <x:c r="F23" s="113" t="n">
        <x:f>F21-F22</x:f>
        <x:v>400000</x:v>
      </x:c>
      <x:c r="G23" s="113" t="n">
        <x:f>G21-G22</x:f>
        <x:v>400000</x:v>
      </x:c>
      <x:c r="H23" s="113" t="n">
        <x:f>H21-H22</x:f>
        <x:v>400000</x:v>
      </x:c>
      <x:c r="I23" s="113" t="n">
        <x:f>I21-I22</x:f>
        <x:v>400000</x:v>
      </x:c>
      <x:c r="J23" s="113" t="n">
        <x:f>J21-J22</x:f>
        <x:v>400000</x:v>
      </x:c>
      <x:c r="K23" s="113" t="n">
        <x:f>K21-K22</x:f>
        <x:v>400000</x:v>
      </x:c>
      <x:c r="L23" s="113" t="n">
        <x:f>L21-L22</x:f>
        <x:v>400000</x:v>
      </x:c>
      <x:c r="M23" s="113" t="n">
        <x:f>M21-M22</x:f>
        <x:v>400000</x:v>
      </x:c>
    </x:row>
    <x:row r="24">
      <x:c r="A24" s="112" t="str">
        <x:v>能源托管/EMC｜服务商</x:v>
      </x:c>
      <x:c r="B24" s="112" t="str">
        <x:v>累计现金流</x:v>
      </x:c>
      <x:c r="C24" s="113" t="n">
        <x:f>C23</x:f>
        <x:v>-5000000</x:v>
      </x:c>
      <x:c r="D24" s="113" t="n">
        <x:f>C24+D23</x:f>
        <x:v>-4600000</x:v>
      </x:c>
      <x:c r="E24" s="113" t="n">
        <x:f>D24+E23</x:f>
        <x:v>-4200000</x:v>
      </x:c>
      <x:c r="F24" s="113" t="n">
        <x:f>E24+F23</x:f>
        <x:v>-3800000</x:v>
      </x:c>
      <x:c r="G24" s="113" t="n">
        <x:f>F24+G23</x:f>
        <x:v>-3400000</x:v>
      </x:c>
      <x:c r="H24" s="113" t="n">
        <x:f>G24+H23</x:f>
        <x:v>-3000000</x:v>
      </x:c>
      <x:c r="I24" s="113" t="n">
        <x:f>H24+I23</x:f>
        <x:v>-2600000</x:v>
      </x:c>
      <x:c r="J24" s="113" t="n">
        <x:f>I24+J23</x:f>
        <x:v>-2200000</x:v>
      </x:c>
      <x:c r="K24" s="113" t="n">
        <x:f>J24+K23</x:f>
        <x:v>-1800000</x:v>
      </x:c>
      <x:c r="L24" s="113" t="n">
        <x:f>K24+L23</x:f>
        <x:v>-1400000</x:v>
      </x:c>
      <x:c r="M24" s="113" t="n">
        <x:f>L24+M23</x:f>
        <x:v>-1000000</x:v>
      </x:c>
    </x:row>
    <x:row r="25">
      <x:c r="A25" s="45" t="str">
        <x:v>能源托管/EMC｜服务商</x:v>
      </x:c>
      <x:c r="B25" s="45" t="str">
        <x:v>NPV</x:v>
      </x:c>
      <x:c r="C25" s="116" t="n">
        <x:f>NPV('02_Inputs'!$D$13,D23:M23)+C23</x:f>
        <x:v>-2315967.4404234234</x:v>
      </x:c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</x:row>
    <x:row r="26">
      <x:c r="A26" s="45" t="str">
        <x:v>能源托管/EMC｜服务商</x:v>
      </x:c>
      <x:c r="B26" s="45" t="str">
        <x:v>IRR</x:v>
      </x:c>
      <x:c r="C26" s="118" t="n">
        <x:f>IFERROR(IRR(C23:M23),"n/a")</x:f>
        <x:v>-0.03864190525167781</x:v>
      </x:c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</x:row>
    <x:row r="27">
      <x:c r="A27" s="45" t="str">
        <x:v>能源托管/EMC｜服务商</x:v>
      </x:c>
      <x:c r="B27" s="45" t="str">
        <x:v>10年ROI</x:v>
      </x:c>
      <x:c r="C27" s="118" t="n">
        <x:f>IF(C12=0,"n/a",SUM(C23:M23)/C12)</x:f>
        <x:v>-0.2</x:v>
      </x:c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</x:row>
    <x:row r="28">
      <x:c r="A28" s="45" t="str">
        <x:v>能源托管/EMC｜服务商</x:v>
      </x:c>
      <x:c r="B28" s="45" t="str">
        <x:v>静态回收期</x:v>
      </x:c>
      <x:c r="C28" s="120" t="str">
        <x:f>IF(M24&lt;0,"未回收",IF(C24&gt;=0,C$4,IF(D24&gt;=0,D$4,IF(E24&gt;=0,E$4,IF(F24&gt;=0,F$4,IF(G24&gt;=0,G$4,IF(H24&gt;=0,H$4,IF(I24&gt;=0,I$4,IF(J24&gt;=0,J$4,IF(K24&gt;=0,K$4,IF(L24&gt;=0,L$4,M$4)))))))))))</x:f>
        <x:v>未回收</x:v>
      </x:c>
      <x:c r="D28" s="108"/>
      <x:c r="E28" s="108"/>
      <x:c r="F28" s="108"/>
      <x:c r="G28" s="108"/>
      <x:c r="H28" s="108"/>
      <x:c r="I28" s="108"/>
      <x:c r="J28" s="108"/>
      <x:c r="K28" s="108"/>
      <x:c r="L28" s="108"/>
      <x:c r="M28" s="108"/>
    </x:row>
    <x:row r="29">
      <x:c r="A29" s="45" t="str"/>
      <x:c r="B29" s="45" t="str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</x:row>
    <x:row r="30">
      <x:c r="A30" s="50" t="str">
        <x:v>C. 能源托管/EMC｜业主侧</x:v>
      </x:c>
      <x:c r="B30" s="50" t="str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</x:row>
    <x:row r="31">
      <x:c r="A31" s="45" t="str">
        <x:v>能源托管/EMC｜业主</x:v>
      </x:c>
      <x:c r="B31" s="45" t="str">
        <x:v>业主支付电费</x:v>
      </x:c>
      <x:c r="C31" s="104" t="n">
        <x:f>0</x:f>
        <x:v>0</x:v>
      </x:c>
      <x:c r="D31" s="104" t="n">
        <x:f>D16*(1-'04_Mode_Params'!$C$10)</x:f>
        <x:v>752812.5</x:v>
      </x:c>
      <x:c r="E31" s="104" t="n">
        <x:f>E16*(1-'04_Mode_Params'!$C$10)</x:f>
        <x:v>752812.5</x:v>
      </x:c>
      <x:c r="F31" s="104" t="n">
        <x:f>F16*(1-'04_Mode_Params'!$C$10)</x:f>
        <x:v>752812.5</x:v>
      </x:c>
      <x:c r="G31" s="104" t="n">
        <x:f>G16*(1-'04_Mode_Params'!$C$10)</x:f>
        <x:v>752812.5</x:v>
      </x:c>
      <x:c r="H31" s="104" t="n">
        <x:f>H16*(1-'04_Mode_Params'!$C$10)</x:f>
        <x:v>752812.5</x:v>
      </x:c>
      <x:c r="I31" s="104" t="n">
        <x:f>I16*(1-'04_Mode_Params'!$C$10)</x:f>
        <x:v>752812.5</x:v>
      </x:c>
      <x:c r="J31" s="104" t="n">
        <x:f>J16*(1-'04_Mode_Params'!$C$10)</x:f>
        <x:v>752812.5</x:v>
      </x:c>
      <x:c r="K31" s="104" t="n">
        <x:f>K16*(1-'04_Mode_Params'!$C$10)</x:f>
        <x:v>752812.5</x:v>
      </x:c>
      <x:c r="L31" s="104" t="n">
        <x:f>L16*(1-'04_Mode_Params'!$C$10)</x:f>
        <x:v>752812.5</x:v>
      </x:c>
      <x:c r="M31" s="104" t="n">
        <x:f>M16*(1-'04_Mode_Params'!$C$10)</x:f>
        <x:v>752812.5</x:v>
      </x:c>
    </x:row>
    <x:row r="32">
      <x:c r="A32" s="45" t="str">
        <x:v>能源托管/EMC｜业主</x:v>
      </x:c>
      <x:c r="B32" s="45" t="str">
        <x:v>固定服务费支出</x:v>
      </x:c>
      <x:c r="C32" s="104" t="n">
        <x:f>0</x:f>
        <x:v>0</x:v>
      </x:c>
      <x:c r="D32" s="104" t="n">
        <x:f>D13</x:f>
        <x:v>1000000</x:v>
      </x:c>
      <x:c r="E32" s="104" t="n">
        <x:f>E13</x:f>
        <x:v>1000000</x:v>
      </x:c>
      <x:c r="F32" s="104" t="n">
        <x:f>F13</x:f>
        <x:v>1000000</x:v>
      </x:c>
      <x:c r="G32" s="104" t="n">
        <x:f>G13</x:f>
        <x:v>1000000</x:v>
      </x:c>
      <x:c r="H32" s="104" t="n">
        <x:f>H13</x:f>
        <x:v>1000000</x:v>
      </x:c>
      <x:c r="I32" s="104" t="n">
        <x:f>I13</x:f>
        <x:v>1000000</x:v>
      </x:c>
      <x:c r="J32" s="104" t="n">
        <x:f>J13</x:f>
        <x:v>1000000</x:v>
      </x:c>
      <x:c r="K32" s="104" t="n">
        <x:f>K13</x:f>
        <x:v>1000000</x:v>
      </x:c>
      <x:c r="L32" s="104" t="n">
        <x:f>L13</x:f>
        <x:v>1000000</x:v>
      </x:c>
      <x:c r="M32" s="104" t="n">
        <x:f>M13</x:f>
        <x:v>1000000</x:v>
      </x:c>
    </x:row>
    <x:row r="33">
      <x:c r="A33" s="45" t="str">
        <x:v>能源托管/EMC｜业主</x:v>
      </x:c>
      <x:c r="B33" s="45" t="str">
        <x:v>业主保留管理成本</x:v>
      </x:c>
      <x:c r="C33" s="104" t="n">
        <x:f>0</x:f>
        <x:v>0</x:v>
      </x:c>
      <x:c r="D33" s="104" t="n">
        <x:f>'02_Inputs'!$D$17*(1+'02_Inputs'!$D$15)^(1-1)</x:f>
        <x:v>0</x:v>
      </x:c>
      <x:c r="E33" s="104" t="n">
        <x:f>'02_Inputs'!$D$17*(1+'02_Inputs'!$D$15)^(2-1)</x:f>
        <x:v>0</x:v>
      </x:c>
      <x:c r="F33" s="104" t="n">
        <x:f>'02_Inputs'!$D$17*(1+'02_Inputs'!$D$15)^(3-1)</x:f>
        <x:v>0</x:v>
      </x:c>
      <x:c r="G33" s="104" t="n">
        <x:f>'02_Inputs'!$D$17*(1+'02_Inputs'!$D$15)^(4-1)</x:f>
        <x:v>0</x:v>
      </x:c>
      <x:c r="H33" s="104" t="n">
        <x:f>'02_Inputs'!$D$17*(1+'02_Inputs'!$D$15)^(5-1)</x:f>
        <x:v>0</x:v>
      </x:c>
      <x:c r="I33" s="104" t="n">
        <x:f>'02_Inputs'!$D$17*(1+'02_Inputs'!$D$15)^(6-1)</x:f>
        <x:v>0</x:v>
      </x:c>
      <x:c r="J33" s="104" t="n">
        <x:f>'02_Inputs'!$D$17*(1+'02_Inputs'!$D$15)^(7-1)</x:f>
        <x:v>0</x:v>
      </x:c>
      <x:c r="K33" s="104" t="n">
        <x:f>'02_Inputs'!$D$17*(1+'02_Inputs'!$D$15)^(8-1)</x:f>
        <x:v>0</x:v>
      </x:c>
      <x:c r="L33" s="104" t="n">
        <x:f>'02_Inputs'!$D$17*(1+'02_Inputs'!$D$15)^(9-1)</x:f>
        <x:v>0</x:v>
      </x:c>
      <x:c r="M33" s="104" t="n">
        <x:f>'02_Inputs'!$D$17*(1+'02_Inputs'!$D$15)^(10-1)</x:f>
        <x:v>0</x:v>
      </x:c>
    </x:row>
    <x:row r="34">
      <x:c r="A34" s="112" t="str">
        <x:v>能源托管/EMC｜业主</x:v>
      </x:c>
      <x:c r="B34" s="112" t="str">
        <x:v>业主年度总支出</x:v>
      </x:c>
      <x:c r="C34" s="113" t="n">
        <x:f>0</x:f>
        <x:v>0</x:v>
      </x:c>
      <x:c r="D34" s="113" t="n">
        <x:f>D31+D32+D33</x:f>
        <x:v>1752812.5</x:v>
      </x:c>
      <x:c r="E34" s="113" t="n">
        <x:f>E31+E32+E33</x:f>
        <x:v>1752812.5</x:v>
      </x:c>
      <x:c r="F34" s="113" t="n">
        <x:f>F31+F32+F33</x:f>
        <x:v>1752812.5</x:v>
      </x:c>
      <x:c r="G34" s="113" t="n">
        <x:f>G31+G32+G33</x:f>
        <x:v>1752812.5</x:v>
      </x:c>
      <x:c r="H34" s="113" t="n">
        <x:f>H31+H32+H33</x:f>
        <x:v>1752812.5</x:v>
      </x:c>
      <x:c r="I34" s="113" t="n">
        <x:f>I31+I32+I33</x:f>
        <x:v>1752812.5</x:v>
      </x:c>
      <x:c r="J34" s="113" t="n">
        <x:f>J31+J32+J33</x:f>
        <x:v>1752812.5</x:v>
      </x:c>
      <x:c r="K34" s="113" t="n">
        <x:f>K31+K32+K33</x:f>
        <x:v>1752812.5</x:v>
      </x:c>
      <x:c r="L34" s="113" t="n">
        <x:f>L31+L32+L33</x:f>
        <x:v>1752812.5</x:v>
      </x:c>
      <x:c r="M34" s="113" t="n">
        <x:f>M31+M32+M33</x:f>
        <x:v>1752812.5</x:v>
      </x:c>
    </x:row>
    <x:row r="35">
      <x:c r="A35" s="112" t="str">
        <x:v>能源托管/EMC｜业主</x:v>
      </x:c>
      <x:c r="B35" s="112" t="str">
        <x:v>业主年度净节省</x:v>
      </x:c>
      <x:c r="C35" s="113" t="n">
        <x:f>0</x:f>
        <x:v>0</x:v>
      </x:c>
      <x:c r="D35" s="113" t="n">
        <x:f>D8-D34</x:f>
        <x:v>252812.5</x:v>
      </x:c>
      <x:c r="E35" s="113" t="n">
        <x:f>E8-E34</x:f>
        <x:v>252812.5</x:v>
      </x:c>
      <x:c r="F35" s="113" t="n">
        <x:f>F8-F34</x:f>
        <x:v>252812.5</x:v>
      </x:c>
      <x:c r="G35" s="113" t="n">
        <x:f>G8-G34</x:f>
        <x:v>252812.5</x:v>
      </x:c>
      <x:c r="H35" s="113" t="n">
        <x:f>H8-H34</x:f>
        <x:v>252812.5</x:v>
      </x:c>
      <x:c r="I35" s="113" t="n">
        <x:f>I8-I34</x:f>
        <x:v>252812.5</x:v>
      </x:c>
      <x:c r="J35" s="113" t="n">
        <x:f>J8-J34</x:f>
        <x:v>252812.5</x:v>
      </x:c>
      <x:c r="K35" s="113" t="n">
        <x:f>K8-K34</x:f>
        <x:v>252812.5</x:v>
      </x:c>
      <x:c r="L35" s="113" t="n">
        <x:f>L8-L34</x:f>
        <x:v>252812.5</x:v>
      </x:c>
      <x:c r="M35" s="113" t="n">
        <x:f>M8-M34</x:f>
        <x:v>252812.5</x:v>
      </x:c>
    </x:row>
    <x:row r="36">
      <x:c r="A36" s="45" t="str">
        <x:v>能源托管/EMC｜业主</x:v>
      </x:c>
      <x:c r="B36" s="45" t="str">
        <x:v>业主节省率</x:v>
      </x:c>
      <x:c r="C36" s="106" t="n">
        <x:f>0</x:f>
        <x:v>0</x:v>
      </x:c>
      <x:c r="D36" s="106" t="n">
        <x:f>IF(D8=0,0,D35/D8)</x:f>
        <x:v>0.12605172951075103</x:v>
      </x:c>
      <x:c r="E36" s="106" t="n">
        <x:f>IF(E8=0,0,E35/E8)</x:f>
        <x:v>0.12605172951075103</x:v>
      </x:c>
      <x:c r="F36" s="106" t="n">
        <x:f>IF(F8=0,0,F35/F8)</x:f>
        <x:v>0.12605172951075103</x:v>
      </x:c>
      <x:c r="G36" s="106" t="n">
        <x:f>IF(G8=0,0,G35/G8)</x:f>
        <x:v>0.12605172951075103</x:v>
      </x:c>
      <x:c r="H36" s="106" t="n">
        <x:f>IF(H8=0,0,H35/H8)</x:f>
        <x:v>0.12605172951075103</x:v>
      </x:c>
      <x:c r="I36" s="106" t="n">
        <x:f>IF(I8=0,0,I35/I8)</x:f>
        <x:v>0.12605172951075103</x:v>
      </x:c>
      <x:c r="J36" s="106" t="n">
        <x:f>IF(J8=0,0,J35/J8)</x:f>
        <x:v>0.12605172951075103</x:v>
      </x:c>
      <x:c r="K36" s="106" t="n">
        <x:f>IF(K8=0,0,K35/K8)</x:f>
        <x:v>0.12605172951075103</x:v>
      </x:c>
      <x:c r="L36" s="106" t="n">
        <x:f>IF(L8=0,0,L35/L8)</x:f>
        <x:v>0.12605172951075103</x:v>
      </x:c>
      <x:c r="M36" s="106" t="n">
        <x:f>IF(M8=0,0,M35/M8)</x:f>
        <x:v>0.12605172951075103</x:v>
      </x:c>
    </x:row>
    <x:row r="37">
      <x:c r="A37" s="45" t="str"/>
      <x:c r="B37" s="45" t="str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</x:row>
    <x:row r="38">
      <x:c r="A38" s="50" t="str">
        <x:v>D. LaaS/AI订阅｜服务商现金流</x:v>
      </x:c>
      <x:c r="B38" s="50" t="str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</x:row>
    <x:row r="39">
      <x:c r="A39" s="45" t="str">
        <x:v>LaaS/AI订阅｜服务商</x:v>
      </x:c>
      <x:c r="B39" s="45" t="str">
        <x:v>初始CAPEX支出（正数，扣减）</x:v>
      </x:c>
      <x:c r="C39" s="78" t="n">
        <x:f>'04_Mode_Params'!$D$5</x:f>
        <x:v>6900000</x:v>
      </x:c>
      <x:c r="D39" s="78" t="n">
        <x:f>0</x:f>
        <x:v>0</x:v>
      </x:c>
      <x:c r="E39" s="78" t="n">
        <x:f>0</x:f>
        <x:v>0</x:v>
      </x:c>
      <x:c r="F39" s="78" t="n">
        <x:f>0</x:f>
        <x:v>0</x:v>
      </x:c>
      <x:c r="G39" s="78" t="n">
        <x:f>0</x:f>
        <x:v>0</x:v>
      </x:c>
      <x:c r="H39" s="78" t="n">
        <x:f>0</x:f>
        <x:v>0</x:v>
      </x:c>
      <x:c r="I39" s="78" t="n">
        <x:f>0</x:f>
        <x:v>0</x:v>
      </x:c>
      <x:c r="J39" s="78" t="n">
        <x:f>0</x:f>
        <x:v>0</x:v>
      </x:c>
      <x:c r="K39" s="78" t="n">
        <x:f>0</x:f>
        <x:v>0</x:v>
      </x:c>
      <x:c r="L39" s="78" t="n">
        <x:f>0</x:f>
        <x:v>0</x:v>
      </x:c>
      <x:c r="M39" s="78" t="n">
        <x:f>0</x:f>
        <x:v>0</x:v>
      </x:c>
    </x:row>
    <x:row r="40">
      <x:c r="A40" s="45" t="str">
        <x:v>LaaS/AI订阅｜服务商</x:v>
      </x:c>
      <x:c r="B40" s="45" t="str">
        <x:v>订阅收入</x:v>
      </x:c>
      <x:c r="C40" s="104" t="n">
        <x:f>0</x:f>
        <x:v>0</x:v>
      </x:c>
      <x:c r="D40" s="104" t="n">
        <x:f>'04_Mode_Params'!$D$6*(1+'02_Inputs'!$D$16)^(1-1)</x:f>
        <x:v>1000000</x:v>
      </x:c>
      <x:c r="E40" s="104" t="n">
        <x:f>'04_Mode_Params'!$D$6*(1+'02_Inputs'!$D$16)^(2-1)</x:f>
        <x:v>1000000</x:v>
      </x:c>
      <x:c r="F40" s="104" t="n">
        <x:f>'04_Mode_Params'!$D$6*(1+'02_Inputs'!$D$16)^(3-1)</x:f>
        <x:v>1000000</x:v>
      </x:c>
      <x:c r="G40" s="104" t="n">
        <x:f>'04_Mode_Params'!$D$6*(1+'02_Inputs'!$D$16)^(4-1)</x:f>
        <x:v>1000000</x:v>
      </x:c>
      <x:c r="H40" s="104" t="n">
        <x:f>'04_Mode_Params'!$D$6*(1+'02_Inputs'!$D$16)^(5-1)</x:f>
        <x:v>1000000</x:v>
      </x:c>
      <x:c r="I40" s="104" t="n">
        <x:f>'04_Mode_Params'!$D$6*(1+'02_Inputs'!$D$16)^(6-1)</x:f>
        <x:v>1000000</x:v>
      </x:c>
      <x:c r="J40" s="104" t="n">
        <x:f>'04_Mode_Params'!$D$6*(1+'02_Inputs'!$D$16)^(7-1)</x:f>
        <x:v>1000000</x:v>
      </x:c>
      <x:c r="K40" s="104" t="n">
        <x:f>'04_Mode_Params'!$D$6*(1+'02_Inputs'!$D$16)^(8-1)</x:f>
        <x:v>1000000</x:v>
      </x:c>
      <x:c r="L40" s="104" t="n">
        <x:f>'04_Mode_Params'!$D$6*(1+'02_Inputs'!$D$16)^(9-1)</x:f>
        <x:v>1000000</x:v>
      </x:c>
      <x:c r="M40" s="104" t="n">
        <x:f>'04_Mode_Params'!$D$6*(1+'02_Inputs'!$D$16)^(10-1)</x:f>
        <x:v>1000000</x:v>
      </x:c>
    </x:row>
    <x:row r="41">
      <x:c r="A41" s="45" t="str">
        <x:v>LaaS/AI订阅｜服务商</x:v>
      </x:c>
      <x:c r="B41" s="45" t="str">
        <x:v>其他/第三方收入</x:v>
      </x:c>
      <x:c r="C41" s="104" t="n">
        <x:f>0</x:f>
        <x:v>0</x:v>
      </x:c>
      <x:c r="D41" s="104" t="n">
        <x:f>'04_Mode_Params'!$D$7*(1+'02_Inputs'!$D$16)^(1-1)</x:f>
        <x:v>0</x:v>
      </x:c>
      <x:c r="E41" s="104" t="n">
        <x:f>'04_Mode_Params'!$D$7*(1+'02_Inputs'!$D$16)^(2-1)</x:f>
        <x:v>0</x:v>
      </x:c>
      <x:c r="F41" s="104" t="n">
        <x:f>'04_Mode_Params'!$D$7*(1+'02_Inputs'!$D$16)^(3-1)</x:f>
        <x:v>0</x:v>
      </x:c>
      <x:c r="G41" s="104" t="n">
        <x:f>'04_Mode_Params'!$D$7*(1+'02_Inputs'!$D$16)^(4-1)</x:f>
        <x:v>0</x:v>
      </x:c>
      <x:c r="H41" s="104" t="n">
        <x:f>'04_Mode_Params'!$D$7*(1+'02_Inputs'!$D$16)^(5-1)</x:f>
        <x:v>0</x:v>
      </x:c>
      <x:c r="I41" s="104" t="n">
        <x:f>'04_Mode_Params'!$D$7*(1+'02_Inputs'!$D$16)^(6-1)</x:f>
        <x:v>0</x:v>
      </x:c>
      <x:c r="J41" s="104" t="n">
        <x:f>'04_Mode_Params'!$D$7*(1+'02_Inputs'!$D$16)^(7-1)</x:f>
        <x:v>0</x:v>
      </x:c>
      <x:c r="K41" s="104" t="n">
        <x:f>'04_Mode_Params'!$D$7*(1+'02_Inputs'!$D$16)^(8-1)</x:f>
        <x:v>0</x:v>
      </x:c>
      <x:c r="L41" s="104" t="n">
        <x:f>'04_Mode_Params'!$D$7*(1+'02_Inputs'!$D$16)^(9-1)</x:f>
        <x:v>0</x:v>
      </x:c>
      <x:c r="M41" s="104" t="n">
        <x:f>'04_Mode_Params'!$D$7*(1+'02_Inputs'!$D$16)^(10-1)</x:f>
        <x:v>0</x:v>
      </x:c>
    </x:row>
    <x:row r="42">
      <x:c r="A42" s="45" t="str">
        <x:v>LaaS/AI订阅｜服务商</x:v>
      </x:c>
      <x:c r="B42" s="45" t="str">
        <x:v>资产转让收入</x:v>
      </x:c>
      <x:c r="C42" s="104" t="n">
        <x:f>0</x:f>
        <x:v>0</x:v>
      </x:c>
      <x:c r="D42" s="104" t="n">
        <x:f>IF(AND(1='02_Inputs'!$D$36,1&gt;0),'02_Inputs'!$D$37,0)</x:f>
        <x:v>0</x:v>
      </x:c>
      <x:c r="E42" s="104" t="n">
        <x:f>IF(AND(2='02_Inputs'!$D$36,2&gt;0),'02_Inputs'!$D$37,0)</x:f>
        <x:v>0</x:v>
      </x:c>
      <x:c r="F42" s="104" t="n">
        <x:f>IF(AND(3='02_Inputs'!$D$36,3&gt;0),'02_Inputs'!$D$37,0)</x:f>
        <x:v>0</x:v>
      </x:c>
      <x:c r="G42" s="104" t="n">
        <x:f>IF(AND(4='02_Inputs'!$D$36,4&gt;0),'02_Inputs'!$D$37,0)</x:f>
        <x:v>0</x:v>
      </x:c>
      <x:c r="H42" s="104" t="n">
        <x:f>IF(AND(5='02_Inputs'!$D$36,5&gt;0),'02_Inputs'!$D$37,0)</x:f>
        <x:v>0</x:v>
      </x:c>
      <x:c r="I42" s="104" t="n">
        <x:f>IF(AND(6='02_Inputs'!$D$36,6&gt;0),'02_Inputs'!$D$37,0)</x:f>
        <x:v>0</x:v>
      </x:c>
      <x:c r="J42" s="104" t="n">
        <x:f>IF(AND(7='02_Inputs'!$D$36,7&gt;0),'02_Inputs'!$D$37,0)</x:f>
        <x:v>0</x:v>
      </x:c>
      <x:c r="K42" s="104" t="n">
        <x:f>IF(AND(8='02_Inputs'!$D$36,8&gt;0),'02_Inputs'!$D$37,0)</x:f>
        <x:v>0</x:v>
      </x:c>
      <x:c r="L42" s="104" t="n">
        <x:f>IF(AND(9='02_Inputs'!$D$36,9&gt;0),'02_Inputs'!$D$37,0)</x:f>
        <x:v>0</x:v>
      </x:c>
      <x:c r="M42" s="104" t="n">
        <x:f>IF(AND(10='02_Inputs'!$D$36,10&gt;0),'02_Inputs'!$D$37,0)</x:f>
        <x:v>0</x:v>
      </x:c>
    </x:row>
    <x:row r="43">
      <x:c r="A43" s="45" t="str">
        <x:v>LaaS/AI订阅｜服务商</x:v>
      </x:c>
      <x:c r="B43" s="45" t="str">
        <x:v>节电后电费总额</x:v>
      </x:c>
      <x:c r="C43" s="104" t="n">
        <x:f>0</x:f>
        <x:v>0</x:v>
      </x:c>
      <x:c r="D43" s="104" t="n">
        <x:f>D6*(1-'04_Mode_Params'!$D$8)</x:f>
        <x:v>632362.5000000001</x:v>
      </x:c>
      <x:c r="E43" s="104" t="n">
        <x:f>E6*(1-'04_Mode_Params'!$D$8)</x:f>
        <x:v>632362.5000000001</x:v>
      </x:c>
      <x:c r="F43" s="104" t="n">
        <x:f>F6*(1-'04_Mode_Params'!$D$8)</x:f>
        <x:v>632362.5000000001</x:v>
      </x:c>
      <x:c r="G43" s="104" t="n">
        <x:f>G6*(1-'04_Mode_Params'!$D$8)</x:f>
        <x:v>632362.5000000001</x:v>
      </x:c>
      <x:c r="H43" s="104" t="n">
        <x:f>H6*(1-'04_Mode_Params'!$D$8)</x:f>
        <x:v>632362.5000000001</x:v>
      </x:c>
      <x:c r="I43" s="104" t="n">
        <x:f>I6*(1-'04_Mode_Params'!$D$8)</x:f>
        <x:v>632362.5000000001</x:v>
      </x:c>
      <x:c r="J43" s="104" t="n">
        <x:f>J6*(1-'04_Mode_Params'!$D$8)</x:f>
        <x:v>632362.5000000001</x:v>
      </x:c>
      <x:c r="K43" s="104" t="n">
        <x:f>K6*(1-'04_Mode_Params'!$D$8)</x:f>
        <x:v>632362.5000000001</x:v>
      </x:c>
      <x:c r="L43" s="104" t="n">
        <x:f>L6*(1-'04_Mode_Params'!$D$8)</x:f>
        <x:v>632362.5000000001</x:v>
      </x:c>
      <x:c r="M43" s="104" t="n">
        <x:f>M6*(1-'04_Mode_Params'!$D$8)</x:f>
        <x:v>632362.5000000001</x:v>
      </x:c>
    </x:row>
    <x:row r="44">
      <x:c r="A44" s="45" t="str">
        <x:v>LaaS/AI订阅｜服务商</x:v>
      </x:c>
      <x:c r="B44" s="45" t="str">
        <x:v>服务商承担电费成本（正数，扣减）</x:v>
      </x:c>
      <x:c r="C44" s="78" t="n">
        <x:f>0</x:f>
        <x:v>0</x:v>
      </x:c>
      <x:c r="D44" s="78" t="n">
        <x:f>D43*'04_Mode_Params'!$D$10</x:f>
        <x:v>0</x:v>
      </x:c>
      <x:c r="E44" s="78" t="n">
        <x:f>E43*'04_Mode_Params'!$D$10</x:f>
        <x:v>0</x:v>
      </x:c>
      <x:c r="F44" s="78" t="n">
        <x:f>F43*'04_Mode_Params'!$D$10</x:f>
        <x:v>0</x:v>
      </x:c>
      <x:c r="G44" s="78" t="n">
        <x:f>G43*'04_Mode_Params'!$D$10</x:f>
        <x:v>0</x:v>
      </x:c>
      <x:c r="H44" s="78" t="n">
        <x:f>H43*'04_Mode_Params'!$D$10</x:f>
        <x:v>0</x:v>
      </x:c>
      <x:c r="I44" s="78" t="n">
        <x:f>I43*'04_Mode_Params'!$D$10</x:f>
        <x:v>0</x:v>
      </x:c>
      <x:c r="J44" s="78" t="n">
        <x:f>J43*'04_Mode_Params'!$D$10</x:f>
        <x:v>0</x:v>
      </x:c>
      <x:c r="K44" s="78" t="n">
        <x:f>K43*'04_Mode_Params'!$D$10</x:f>
        <x:v>0</x:v>
      </x:c>
      <x:c r="L44" s="78" t="n">
        <x:f>L43*'04_Mode_Params'!$D$10</x:f>
        <x:v>0</x:v>
      </x:c>
      <x:c r="M44" s="78" t="n">
        <x:f>M43*'04_Mode_Params'!$D$10</x:f>
        <x:v>0</x:v>
      </x:c>
    </x:row>
    <x:row r="45">
      <x:c r="A45" s="45" t="str">
        <x:v>LaaS/AI订阅｜服务商</x:v>
      </x:c>
      <x:c r="B45" s="45" t="str">
        <x:v>运维成本（正数，扣减）</x:v>
      </x:c>
      <x:c r="C45" s="78" t="n">
        <x:f>0</x:f>
        <x:v>0</x:v>
      </x:c>
      <x:c r="D45" s="78" t="n">
        <x:f>'04_Mode_Params'!$D$13*(1+'02_Inputs'!$D$15)^(1-1)</x:f>
        <x:v>300000</x:v>
      </x:c>
      <x:c r="E45" s="78" t="n">
        <x:f>'04_Mode_Params'!$D$13*(1+'02_Inputs'!$D$15)^(2-1)</x:f>
        <x:v>300000</x:v>
      </x:c>
      <x:c r="F45" s="78" t="n">
        <x:f>'04_Mode_Params'!$D$13*(1+'02_Inputs'!$D$15)^(3-1)</x:f>
        <x:v>300000</x:v>
      </x:c>
      <x:c r="G45" s="78" t="n">
        <x:f>'04_Mode_Params'!$D$13*(1+'02_Inputs'!$D$15)^(4-1)</x:f>
        <x:v>300000</x:v>
      </x:c>
      <x:c r="H45" s="78" t="n">
        <x:f>'04_Mode_Params'!$D$13*(1+'02_Inputs'!$D$15)^(5-1)</x:f>
        <x:v>300000</x:v>
      </x:c>
      <x:c r="I45" s="78" t="n">
        <x:f>'04_Mode_Params'!$D$13*(1+'02_Inputs'!$D$15)^(6-1)</x:f>
        <x:v>300000</x:v>
      </x:c>
      <x:c r="J45" s="78" t="n">
        <x:f>'04_Mode_Params'!$D$13*(1+'02_Inputs'!$D$15)^(7-1)</x:f>
        <x:v>300000</x:v>
      </x:c>
      <x:c r="K45" s="78" t="n">
        <x:f>'04_Mode_Params'!$D$13*(1+'02_Inputs'!$D$15)^(8-1)</x:f>
        <x:v>300000</x:v>
      </x:c>
      <x:c r="L45" s="78" t="n">
        <x:f>'04_Mode_Params'!$D$13*(1+'02_Inputs'!$D$15)^(9-1)</x:f>
        <x:v>300000</x:v>
      </x:c>
      <x:c r="M45" s="78" t="n">
        <x:f>'04_Mode_Params'!$D$13*(1+'02_Inputs'!$D$15)^(10-1)</x:f>
        <x:v>300000</x:v>
      </x:c>
    </x:row>
    <x:row r="46">
      <x:c r="A46" s="45" t="str">
        <x:v>LaaS/AI订阅｜服务商</x:v>
      </x:c>
      <x:c r="B46" s="45" t="str">
        <x:v>平台/AI升级成本（正数，扣减）</x:v>
      </x:c>
      <x:c r="C46" s="78" t="n">
        <x:f>0</x:f>
        <x:v>0</x:v>
      </x:c>
      <x:c r="D46" s="78" t="n">
        <x:f>'04_Mode_Params'!$D$14*(1+'02_Inputs'!$D$15)^(1-1)</x:f>
        <x:v>350000</x:v>
      </x:c>
      <x:c r="E46" s="78" t="n">
        <x:f>'04_Mode_Params'!$D$14*(1+'02_Inputs'!$D$15)^(2-1)</x:f>
        <x:v>350000</x:v>
      </x:c>
      <x:c r="F46" s="78" t="n">
        <x:f>'04_Mode_Params'!$D$14*(1+'02_Inputs'!$D$15)^(3-1)</x:f>
        <x:v>350000</x:v>
      </x:c>
      <x:c r="G46" s="78" t="n">
        <x:f>'04_Mode_Params'!$D$14*(1+'02_Inputs'!$D$15)^(4-1)</x:f>
        <x:v>350000</x:v>
      </x:c>
      <x:c r="H46" s="78" t="n">
        <x:f>'04_Mode_Params'!$D$14*(1+'02_Inputs'!$D$15)^(5-1)</x:f>
        <x:v>350000</x:v>
      </x:c>
      <x:c r="I46" s="78" t="n">
        <x:f>'04_Mode_Params'!$D$14*(1+'02_Inputs'!$D$15)^(6-1)</x:f>
        <x:v>350000</x:v>
      </x:c>
      <x:c r="J46" s="78" t="n">
        <x:f>'04_Mode_Params'!$D$14*(1+'02_Inputs'!$D$15)^(7-1)</x:f>
        <x:v>350000</x:v>
      </x:c>
      <x:c r="K46" s="78" t="n">
        <x:f>'04_Mode_Params'!$D$14*(1+'02_Inputs'!$D$15)^(8-1)</x:f>
        <x:v>350000</x:v>
      </x:c>
      <x:c r="L46" s="78" t="n">
        <x:f>'04_Mode_Params'!$D$14*(1+'02_Inputs'!$D$15)^(9-1)</x:f>
        <x:v>350000</x:v>
      </x:c>
      <x:c r="M46" s="78" t="n">
        <x:f>'04_Mode_Params'!$D$14*(1+'02_Inputs'!$D$15)^(10-1)</x:f>
        <x:v>350000</x:v>
      </x:c>
    </x:row>
    <x:row r="47">
      <x:c r="A47" s="45" t="str">
        <x:v>LaaS/AI订阅｜服务商</x:v>
      </x:c>
      <x:c r="B47" s="45" t="str">
        <x:v>升级/备件储备（正数，扣减）</x:v>
      </x:c>
      <x:c r="C47" s="78" t="n">
        <x:f>0</x:f>
        <x:v>0</x:v>
      </x:c>
      <x:c r="D47" s="78" t="n">
        <x:f>'04_Mode_Params'!$D$15*(1+'02_Inputs'!$D$15)^(1-1)</x:f>
        <x:v>150000</x:v>
      </x:c>
      <x:c r="E47" s="78" t="n">
        <x:f>'04_Mode_Params'!$D$15*(1+'02_Inputs'!$D$15)^(2-1)</x:f>
        <x:v>150000</x:v>
      </x:c>
      <x:c r="F47" s="78" t="n">
        <x:f>'04_Mode_Params'!$D$15*(1+'02_Inputs'!$D$15)^(3-1)</x:f>
        <x:v>150000</x:v>
      </x:c>
      <x:c r="G47" s="78" t="n">
        <x:f>'04_Mode_Params'!$D$15*(1+'02_Inputs'!$D$15)^(4-1)</x:f>
        <x:v>150000</x:v>
      </x:c>
      <x:c r="H47" s="78" t="n">
        <x:f>'04_Mode_Params'!$D$15*(1+'02_Inputs'!$D$15)^(5-1)</x:f>
        <x:v>150000</x:v>
      </x:c>
      <x:c r="I47" s="78" t="n">
        <x:f>'04_Mode_Params'!$D$15*(1+'02_Inputs'!$D$15)^(6-1)</x:f>
        <x:v>150000</x:v>
      </x:c>
      <x:c r="J47" s="78" t="n">
        <x:f>'04_Mode_Params'!$D$15*(1+'02_Inputs'!$D$15)^(7-1)</x:f>
        <x:v>150000</x:v>
      </x:c>
      <x:c r="K47" s="78" t="n">
        <x:f>'04_Mode_Params'!$D$15*(1+'02_Inputs'!$D$15)^(8-1)</x:f>
        <x:v>150000</x:v>
      </x:c>
      <x:c r="L47" s="78" t="n">
        <x:f>'04_Mode_Params'!$D$15*(1+'02_Inputs'!$D$15)^(9-1)</x:f>
        <x:v>150000</x:v>
      </x:c>
      <x:c r="M47" s="78" t="n">
        <x:f>'04_Mode_Params'!$D$15*(1+'02_Inputs'!$D$15)^(10-1)</x:f>
        <x:v>150000</x:v>
      </x:c>
    </x:row>
    <x:row r="48">
      <x:c r="A48" s="112" t="str">
        <x:v>LaaS/AI订阅｜服务商</x:v>
      </x:c>
      <x:c r="B48" s="112" t="str">
        <x:v>年度总收入</x:v>
      </x:c>
      <x:c r="C48" s="113" t="n">
        <x:f>0</x:f>
        <x:v>0</x:v>
      </x:c>
      <x:c r="D48" s="113" t="n">
        <x:f>D40+D41+D42</x:f>
        <x:v>1000000</x:v>
      </x:c>
      <x:c r="E48" s="113" t="n">
        <x:f>E40+E41+E42</x:f>
        <x:v>1000000</x:v>
      </x:c>
      <x:c r="F48" s="113" t="n">
        <x:f>F40+F41+F42</x:f>
        <x:v>1000000</x:v>
      </x:c>
      <x:c r="G48" s="113" t="n">
        <x:f>G40+G41+G42</x:f>
        <x:v>1000000</x:v>
      </x:c>
      <x:c r="H48" s="113" t="n">
        <x:f>H40+H41+H42</x:f>
        <x:v>1000000</x:v>
      </x:c>
      <x:c r="I48" s="113" t="n">
        <x:f>I40+I41+I42</x:f>
        <x:v>1000000</x:v>
      </x:c>
      <x:c r="J48" s="113" t="n">
        <x:f>J40+J41+J42</x:f>
        <x:v>1000000</x:v>
      </x:c>
      <x:c r="K48" s="113" t="n">
        <x:f>K40+K41+K42</x:f>
        <x:v>1000000</x:v>
      </x:c>
      <x:c r="L48" s="113" t="n">
        <x:f>L40+L41+L42</x:f>
        <x:v>1000000</x:v>
      </x:c>
      <x:c r="M48" s="113" t="n">
        <x:f>M40+M41+M42</x:f>
        <x:v>1000000</x:v>
      </x:c>
    </x:row>
    <x:row r="49">
      <x:c r="A49" s="112" t="str">
        <x:v>LaaS/AI订阅｜服务商</x:v>
      </x:c>
      <x:c r="B49" s="112" t="str">
        <x:v>年度总现金成本</x:v>
      </x:c>
      <x:c r="C49" s="113" t="n">
        <x:f>C39</x:f>
        <x:v>6900000</x:v>
      </x:c>
      <x:c r="D49" s="113" t="n">
        <x:f>D39+D44+D45+D46+D47</x:f>
        <x:v>800000</x:v>
      </x:c>
      <x:c r="E49" s="113" t="n">
        <x:f>E39+E44+E45+E46+E47</x:f>
        <x:v>800000</x:v>
      </x:c>
      <x:c r="F49" s="113" t="n">
        <x:f>F39+F44+F45+F46+F47</x:f>
        <x:v>800000</x:v>
      </x:c>
      <x:c r="G49" s="113" t="n">
        <x:f>G39+G44+G45+G46+G47</x:f>
        <x:v>800000</x:v>
      </x:c>
      <x:c r="H49" s="113" t="n">
        <x:f>H39+H44+H45+H46+H47</x:f>
        <x:v>800000</x:v>
      </x:c>
      <x:c r="I49" s="113" t="n">
        <x:f>I39+I44+I45+I46+I47</x:f>
        <x:v>800000</x:v>
      </x:c>
      <x:c r="J49" s="113" t="n">
        <x:f>J39+J44+J45+J46+J47</x:f>
        <x:v>800000</x:v>
      </x:c>
      <x:c r="K49" s="113" t="n">
        <x:f>K39+K44+K45+K46+K47</x:f>
        <x:v>800000</x:v>
      </x:c>
      <x:c r="L49" s="113" t="n">
        <x:f>L39+L44+L45+L46+L47</x:f>
        <x:v>800000</x:v>
      </x:c>
      <x:c r="M49" s="113" t="n">
        <x:f>M39+M44+M45+M46+M47</x:f>
        <x:v>800000</x:v>
      </x:c>
    </x:row>
    <x:row r="50">
      <x:c r="A50" s="112" t="str">
        <x:v>LaaS/AI订阅｜服务商</x:v>
      </x:c>
      <x:c r="B50" s="112" t="str">
        <x:v>年度净现金流</x:v>
      </x:c>
      <x:c r="C50" s="113" t="n">
        <x:f>C48-C49</x:f>
        <x:v>-6900000</x:v>
      </x:c>
      <x:c r="D50" s="113" t="n">
        <x:f>D48-D49</x:f>
        <x:v>200000</x:v>
      </x:c>
      <x:c r="E50" s="113" t="n">
        <x:f>E48-E49</x:f>
        <x:v>200000</x:v>
      </x:c>
      <x:c r="F50" s="113" t="n">
        <x:f>F48-F49</x:f>
        <x:v>200000</x:v>
      </x:c>
      <x:c r="G50" s="113" t="n">
        <x:f>G48-G49</x:f>
        <x:v>200000</x:v>
      </x:c>
      <x:c r="H50" s="113" t="n">
        <x:f>H48-H49</x:f>
        <x:v>200000</x:v>
      </x:c>
      <x:c r="I50" s="113" t="n">
        <x:f>I48-I49</x:f>
        <x:v>200000</x:v>
      </x:c>
      <x:c r="J50" s="113" t="n">
        <x:f>J48-J49</x:f>
        <x:v>200000</x:v>
      </x:c>
      <x:c r="K50" s="113" t="n">
        <x:f>K48-K49</x:f>
        <x:v>200000</x:v>
      </x:c>
      <x:c r="L50" s="113" t="n">
        <x:f>L48-L49</x:f>
        <x:v>200000</x:v>
      </x:c>
      <x:c r="M50" s="113" t="n">
        <x:f>M48-M49</x:f>
        <x:v>200000</x:v>
      </x:c>
    </x:row>
    <x:row r="51">
      <x:c r="A51" s="112" t="str">
        <x:v>LaaS/AI订阅｜服务商</x:v>
      </x:c>
      <x:c r="B51" s="112" t="str">
        <x:v>累计现金流</x:v>
      </x:c>
      <x:c r="C51" s="113" t="n">
        <x:f>C50</x:f>
        <x:v>-6900000</x:v>
      </x:c>
      <x:c r="D51" s="113" t="n">
        <x:f>C51+D50</x:f>
        <x:v>-6700000</x:v>
      </x:c>
      <x:c r="E51" s="113" t="n">
        <x:f>D51+E50</x:f>
        <x:v>-6500000</x:v>
      </x:c>
      <x:c r="F51" s="113" t="n">
        <x:f>E51+F50</x:f>
        <x:v>-6300000</x:v>
      </x:c>
      <x:c r="G51" s="113" t="n">
        <x:f>F51+G50</x:f>
        <x:v>-6100000</x:v>
      </x:c>
      <x:c r="H51" s="113" t="n">
        <x:f>G51+H50</x:f>
        <x:v>-5900000</x:v>
      </x:c>
      <x:c r="I51" s="113" t="n">
        <x:f>H51+I50</x:f>
        <x:v>-5700000</x:v>
      </x:c>
      <x:c r="J51" s="113" t="n">
        <x:f>I51+J50</x:f>
        <x:v>-5500000</x:v>
      </x:c>
      <x:c r="K51" s="113" t="n">
        <x:f>J51+K50</x:f>
        <x:v>-5300000</x:v>
      </x:c>
      <x:c r="L51" s="113" t="n">
        <x:f>K51+L50</x:f>
        <x:v>-5100000</x:v>
      </x:c>
      <x:c r="M51" s="113" t="n">
        <x:f>L51+M50</x:f>
        <x:v>-4900000</x:v>
      </x:c>
    </x:row>
    <x:row r="52">
      <x:c r="A52" s="45" t="str">
        <x:v>LaaS/AI订阅｜服务商</x:v>
      </x:c>
      <x:c r="B52" s="45" t="str">
        <x:v>NPV</x:v>
      </x:c>
      <x:c r="C52" s="116" t="n">
        <x:f>NPV('02_Inputs'!$D$13,D50:M50)+C50</x:f>
        <x:v>-5557983.720211712</x:v>
      </x:c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</x:row>
    <x:row r="53">
      <x:c r="A53" s="45" t="str">
        <x:v>LaaS/AI订阅｜服务商</x:v>
      </x:c>
      <x:c r="B53" s="45" t="str">
        <x:v>IRR</x:v>
      </x:c>
      <x:c r="C53" s="118" t="n">
        <x:f>IFERROR(IRR(C50:M50),"n/a")</x:f>
        <x:v>-0.17877616020938114</x:v>
      </x:c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</x:row>
    <x:row r="54">
      <x:c r="A54" s="45" t="str">
        <x:v>LaaS/AI订阅｜服务商</x:v>
      </x:c>
      <x:c r="B54" s="45" t="str">
        <x:v>10年ROI</x:v>
      </x:c>
      <x:c r="C54" s="118" t="n">
        <x:f>IF(C39=0,"n/a",SUM(C50:M50)/C39)</x:f>
        <x:v>-0.7101449275362319</x:v>
      </x:c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</x:row>
    <x:row r="55">
      <x:c r="A55" s="45" t="str">
        <x:v>LaaS/AI订阅｜服务商</x:v>
      </x:c>
      <x:c r="B55" s="45" t="str">
        <x:v>静态回收期</x:v>
      </x:c>
      <x:c r="C55" s="120" t="str">
        <x:f>IF(M51&lt;0,"未回收",IF(C51&gt;=0,C$4,IF(D51&gt;=0,D$4,IF(E51&gt;=0,E$4,IF(F51&gt;=0,F$4,IF(G51&gt;=0,G$4,IF(H51&gt;=0,H$4,IF(I51&gt;=0,I$4,IF(J51&gt;=0,J$4,IF(K51&gt;=0,K$4,IF(L51&gt;=0,L$4,M$4)))))))))))</x:f>
        <x:v>未回收</x:v>
      </x:c>
      <x:c r="D55" s="108"/>
      <x:c r="E55" s="108"/>
      <x:c r="F55" s="108"/>
      <x:c r="G55" s="108"/>
      <x:c r="H55" s="108"/>
      <x:c r="I55" s="108"/>
      <x:c r="J55" s="108"/>
      <x:c r="K55" s="108"/>
      <x:c r="L55" s="108"/>
      <x:c r="M55" s="108"/>
    </x:row>
    <x:row r="56">
      <x:c r="A56" s="45" t="str"/>
      <x:c r="B56" s="45" t="str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</x:row>
    <x:row r="57">
      <x:c r="A57" s="50" t="str">
        <x:v>E. LaaS/AI订阅｜业主侧</x:v>
      </x:c>
      <x:c r="B57" s="50" t="str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</x:row>
    <x:row r="58">
      <x:c r="A58" s="45" t="str">
        <x:v>LaaS/AI订阅｜业主</x:v>
      </x:c>
      <x:c r="B58" s="45" t="str">
        <x:v>业主支付电费</x:v>
      </x:c>
      <x:c r="C58" s="104" t="n">
        <x:f>0</x:f>
        <x:v>0</x:v>
      </x:c>
      <x:c r="D58" s="104" t="n">
        <x:f>D43*(1-'04_Mode_Params'!$D$10)</x:f>
        <x:v>632362.5000000001</x:v>
      </x:c>
      <x:c r="E58" s="104" t="n">
        <x:f>E43*(1-'04_Mode_Params'!$D$10)</x:f>
        <x:v>632362.5000000001</x:v>
      </x:c>
      <x:c r="F58" s="104" t="n">
        <x:f>F43*(1-'04_Mode_Params'!$D$10)</x:f>
        <x:v>632362.5000000001</x:v>
      </x:c>
      <x:c r="G58" s="104" t="n">
        <x:f>G43*(1-'04_Mode_Params'!$D$10)</x:f>
        <x:v>632362.5000000001</x:v>
      </x:c>
      <x:c r="H58" s="104" t="n">
        <x:f>H43*(1-'04_Mode_Params'!$D$10)</x:f>
        <x:v>632362.5000000001</x:v>
      </x:c>
      <x:c r="I58" s="104" t="n">
        <x:f>I43*(1-'04_Mode_Params'!$D$10)</x:f>
        <x:v>632362.5000000001</x:v>
      </x:c>
      <x:c r="J58" s="104" t="n">
        <x:f>J43*(1-'04_Mode_Params'!$D$10)</x:f>
        <x:v>632362.5000000001</x:v>
      </x:c>
      <x:c r="K58" s="104" t="n">
        <x:f>K43*(1-'04_Mode_Params'!$D$10)</x:f>
        <x:v>632362.5000000001</x:v>
      </x:c>
      <x:c r="L58" s="104" t="n">
        <x:f>L43*(1-'04_Mode_Params'!$D$10)</x:f>
        <x:v>632362.5000000001</x:v>
      </x:c>
      <x:c r="M58" s="104" t="n">
        <x:f>M43*(1-'04_Mode_Params'!$D$10)</x:f>
        <x:v>632362.5000000001</x:v>
      </x:c>
    </x:row>
    <x:row r="59">
      <x:c r="A59" s="45" t="str">
        <x:v>LaaS/AI订阅｜业主</x:v>
      </x:c>
      <x:c r="B59" s="45" t="str">
        <x:v>订阅费支出</x:v>
      </x:c>
      <x:c r="C59" s="104" t="n">
        <x:f>0</x:f>
        <x:v>0</x:v>
      </x:c>
      <x:c r="D59" s="104" t="n">
        <x:f>D40</x:f>
        <x:v>1000000</x:v>
      </x:c>
      <x:c r="E59" s="104" t="n">
        <x:f>E40</x:f>
        <x:v>1000000</x:v>
      </x:c>
      <x:c r="F59" s="104" t="n">
        <x:f>F40</x:f>
        <x:v>1000000</x:v>
      </x:c>
      <x:c r="G59" s="104" t="n">
        <x:f>G40</x:f>
        <x:v>1000000</x:v>
      </x:c>
      <x:c r="H59" s="104" t="n">
        <x:f>H40</x:f>
        <x:v>1000000</x:v>
      </x:c>
      <x:c r="I59" s="104" t="n">
        <x:f>I40</x:f>
        <x:v>1000000</x:v>
      </x:c>
      <x:c r="J59" s="104" t="n">
        <x:f>J40</x:f>
        <x:v>1000000</x:v>
      </x:c>
      <x:c r="K59" s="104" t="n">
        <x:f>K40</x:f>
        <x:v>1000000</x:v>
      </x:c>
      <x:c r="L59" s="104" t="n">
        <x:f>L40</x:f>
        <x:v>1000000</x:v>
      </x:c>
      <x:c r="M59" s="104" t="n">
        <x:f>M40</x:f>
        <x:v>1000000</x:v>
      </x:c>
    </x:row>
    <x:row r="60">
      <x:c r="A60" s="45" t="str">
        <x:v>LaaS/AI订阅｜业主</x:v>
      </x:c>
      <x:c r="B60" s="45" t="str">
        <x:v>业主保留管理成本</x:v>
      </x:c>
      <x:c r="C60" s="104" t="n">
        <x:f>0</x:f>
        <x:v>0</x:v>
      </x:c>
      <x:c r="D60" s="104" t="n">
        <x:f>'02_Inputs'!$D$17*(1+'02_Inputs'!$D$15)^(1-1)</x:f>
        <x:v>0</x:v>
      </x:c>
      <x:c r="E60" s="104" t="n">
        <x:f>'02_Inputs'!$D$17*(1+'02_Inputs'!$D$15)^(2-1)</x:f>
        <x:v>0</x:v>
      </x:c>
      <x:c r="F60" s="104" t="n">
        <x:f>'02_Inputs'!$D$17*(1+'02_Inputs'!$D$15)^(3-1)</x:f>
        <x:v>0</x:v>
      </x:c>
      <x:c r="G60" s="104" t="n">
        <x:f>'02_Inputs'!$D$17*(1+'02_Inputs'!$D$15)^(4-1)</x:f>
        <x:v>0</x:v>
      </x:c>
      <x:c r="H60" s="104" t="n">
        <x:f>'02_Inputs'!$D$17*(1+'02_Inputs'!$D$15)^(5-1)</x:f>
        <x:v>0</x:v>
      </x:c>
      <x:c r="I60" s="104" t="n">
        <x:f>'02_Inputs'!$D$17*(1+'02_Inputs'!$D$15)^(6-1)</x:f>
        <x:v>0</x:v>
      </x:c>
      <x:c r="J60" s="104" t="n">
        <x:f>'02_Inputs'!$D$17*(1+'02_Inputs'!$D$15)^(7-1)</x:f>
        <x:v>0</x:v>
      </x:c>
      <x:c r="K60" s="104" t="n">
        <x:f>'02_Inputs'!$D$17*(1+'02_Inputs'!$D$15)^(8-1)</x:f>
        <x:v>0</x:v>
      </x:c>
      <x:c r="L60" s="104" t="n">
        <x:f>'02_Inputs'!$D$17*(1+'02_Inputs'!$D$15)^(9-1)</x:f>
        <x:v>0</x:v>
      </x:c>
      <x:c r="M60" s="104" t="n">
        <x:f>'02_Inputs'!$D$17*(1+'02_Inputs'!$D$15)^(10-1)</x:f>
        <x:v>0</x:v>
      </x:c>
    </x:row>
    <x:row r="61">
      <x:c r="A61" s="112" t="str">
        <x:v>LaaS/AI订阅｜业主</x:v>
      </x:c>
      <x:c r="B61" s="112" t="str">
        <x:v>业主年度总支出</x:v>
      </x:c>
      <x:c r="C61" s="113" t="n">
        <x:f>0</x:f>
        <x:v>0</x:v>
      </x:c>
      <x:c r="D61" s="113" t="n">
        <x:f>D58+D59+D60</x:f>
        <x:v>1632362.5</x:v>
      </x:c>
      <x:c r="E61" s="113" t="n">
        <x:f>E58+E59+E60</x:f>
        <x:v>1632362.5</x:v>
      </x:c>
      <x:c r="F61" s="113" t="n">
        <x:f>F58+F59+F60</x:f>
        <x:v>1632362.5</x:v>
      </x:c>
      <x:c r="G61" s="113" t="n">
        <x:f>G58+G59+G60</x:f>
        <x:v>1632362.5</x:v>
      </x:c>
      <x:c r="H61" s="113" t="n">
        <x:f>H58+H59+H60</x:f>
        <x:v>1632362.5</x:v>
      </x:c>
      <x:c r="I61" s="113" t="n">
        <x:f>I58+I59+I60</x:f>
        <x:v>1632362.5</x:v>
      </x:c>
      <x:c r="J61" s="113" t="n">
        <x:f>J58+J59+J60</x:f>
        <x:v>1632362.5</x:v>
      </x:c>
      <x:c r="K61" s="113" t="n">
        <x:f>K58+K59+K60</x:f>
        <x:v>1632362.5</x:v>
      </x:c>
      <x:c r="L61" s="113" t="n">
        <x:f>L58+L59+L60</x:f>
        <x:v>1632362.5</x:v>
      </x:c>
      <x:c r="M61" s="113" t="n">
        <x:f>M58+M59+M60</x:f>
        <x:v>1632362.5</x:v>
      </x:c>
    </x:row>
    <x:row r="62">
      <x:c r="A62" s="112" t="str">
        <x:v>LaaS/AI订阅｜业主</x:v>
      </x:c>
      <x:c r="B62" s="112" t="str">
        <x:v>业主年度净节省</x:v>
      </x:c>
      <x:c r="C62" s="113" t="n">
        <x:f>0</x:f>
        <x:v>0</x:v>
      </x:c>
      <x:c r="D62" s="113" t="n">
        <x:f>D8-D61</x:f>
        <x:v>373262.5</x:v>
      </x:c>
      <x:c r="E62" s="113" t="n">
        <x:f>E8-E61</x:f>
        <x:v>373262.5</x:v>
      </x:c>
      <x:c r="F62" s="113" t="n">
        <x:f>F8-F61</x:f>
        <x:v>373262.5</x:v>
      </x:c>
      <x:c r="G62" s="113" t="n">
        <x:f>G8-G61</x:f>
        <x:v>373262.5</x:v>
      </x:c>
      <x:c r="H62" s="113" t="n">
        <x:f>H8-H61</x:f>
        <x:v>373262.5</x:v>
      </x:c>
      <x:c r="I62" s="113" t="n">
        <x:f>I8-I61</x:f>
        <x:v>373262.5</x:v>
      </x:c>
      <x:c r="J62" s="113" t="n">
        <x:f>J8-J61</x:f>
        <x:v>373262.5</x:v>
      </x:c>
      <x:c r="K62" s="113" t="n">
        <x:f>K8-K61</x:f>
        <x:v>373262.5</x:v>
      </x:c>
      <x:c r="L62" s="113" t="n">
        <x:f>L8-L61</x:f>
        <x:v>373262.5</x:v>
      </x:c>
      <x:c r="M62" s="113" t="n">
        <x:f>M8-M61</x:f>
        <x:v>373262.5</x:v>
      </x:c>
    </x:row>
    <x:row r="63">
      <x:c r="A63" s="45" t="str">
        <x:v>LaaS/AI订阅｜业主</x:v>
      </x:c>
      <x:c r="B63" s="45" t="str">
        <x:v>业主节省率</x:v>
      </x:c>
      <x:c r="C63" s="106" t="n">
        <x:f>0</x:f>
        <x:v>0</x:v>
      </x:c>
      <x:c r="D63" s="106" t="n">
        <x:f>IF(D8=0,0,D62/D8)</x:f>
        <x:v>0.1861078217513244</x:v>
      </x:c>
      <x:c r="E63" s="106" t="n">
        <x:f>IF(E8=0,0,E62/E8)</x:f>
        <x:v>0.1861078217513244</x:v>
      </x:c>
      <x:c r="F63" s="106" t="n">
        <x:f>IF(F8=0,0,F62/F8)</x:f>
        <x:v>0.1861078217513244</x:v>
      </x:c>
      <x:c r="G63" s="106" t="n">
        <x:f>IF(G8=0,0,G62/G8)</x:f>
        <x:v>0.1861078217513244</x:v>
      </x:c>
      <x:c r="H63" s="106" t="n">
        <x:f>IF(H8=0,0,H62/H8)</x:f>
        <x:v>0.1861078217513244</x:v>
      </x:c>
      <x:c r="I63" s="106" t="n">
        <x:f>IF(I8=0,0,I62/I8)</x:f>
        <x:v>0.1861078217513244</x:v>
      </x:c>
      <x:c r="J63" s="106" t="n">
        <x:f>IF(J8=0,0,J62/J8)</x:f>
        <x:v>0.1861078217513244</x:v>
      </x:c>
      <x:c r="K63" s="106" t="n">
        <x:f>IF(K8=0,0,K62/K8)</x:f>
        <x:v>0.1861078217513244</x:v>
      </x:c>
      <x:c r="L63" s="106" t="n">
        <x:f>IF(L8=0,0,L62/L8)</x:f>
        <x:v>0.1861078217513244</x:v>
      </x:c>
      <x:c r="M63" s="106" t="n">
        <x:f>IF(M8=0,0,M62/M8)</x:f>
        <x:v>0.1861078217513244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6" customHeight="1">
      <x:c r="A1" s="3" t="str">
        <x:v>敏感性分析｜年费、节电率与服务商回报要求</x:v>
      </x:c>
      <x:c r="B1" s="3"/>
      <x:c r="C1" s="3"/>
      <x:c r="D1" s="3"/>
      <x:c r="E1" s="3"/>
      <x:c r="F1" s="3"/>
      <x:c r="G1" s="3"/>
      <x:c r="H1" s="3"/>
      <x:c r="I1" s="3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用于判断“100万元/年”是否足够，以及Laas节电率提升能否覆盖更高CAPEX和平台/升级成本。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44" t="str">
        <x:v>模式</x:v>
      </x:c>
      <x:c r="B4" s="44" t="str">
        <x:v>10年现金回本所需年费</x:v>
      </x:c>
      <x:c r="C4" s="44" t="str">
        <x:v>NPV=0所需年费</x:v>
      </x:c>
      <x:c r="D4" s="44" t="str">
        <x:v>当前年费</x:v>
      </x:c>
      <x:c r="E4" s="44" t="str">
        <x:v>当前年费缺口/富余</x:v>
      </x:c>
      <x:c r="F4" s="44" t="str">
        <x:v>解释</x:v>
      </x:c>
    </x:row>
    <x:row r="5">
      <x:c r="A5" s="45" t="str">
        <x:v>能源托管/EMC</x:v>
      </x:c>
      <x:c r="B5" s="104" t="n">
        <x:f>('04_Mode_Params'!C5+'02_Inputs'!$D$5*('04_Mode_Params'!C17-'04_Mode_Params'!C7))/'02_Inputs'!$D$5</x:f>
        <x:v>1100000</x:v>
      </x:c>
      <x:c r="C5" s="104" t="n">
        <x:f>'04_Mode_Params'!C5/(IF('02_Inputs'!$D$13=0,'02_Inputs'!$D$5,(1-(1+'02_Inputs'!$D$13)^-'02_Inputs'!$D$5)/'02_Inputs'!$D$13))+'04_Mode_Params'!C17-'04_Mode_Params'!C7</x:f>
        <x:v>1345147.443485377</x:v>
      </x:c>
      <x:c r="D5" s="104" t="n">
        <x:f>'04_Mode_Params'!C6</x:f>
        <x:v>1000000</x:v>
      </x:c>
      <x:c r="E5" s="104" t="n">
        <x:f>D5-C5</x:f>
        <x:v>-345147.4434853769</x:v>
      </x:c>
      <x:c r="F5" s="60" t="str">
        <x:v>若为负，说明当前年费低于达到折现率要求的年费。</x:v>
      </x:c>
    </x:row>
    <x:row r="6">
      <x:c r="A6" s="45" t="str">
        <x:v>LaaS/AI订阅</x:v>
      </x:c>
      <x:c r="B6" s="104" t="n">
        <x:f>('04_Mode_Params'!D5+'02_Inputs'!$D$5*('04_Mode_Params'!D17-'04_Mode_Params'!D7))/'02_Inputs'!$D$5</x:f>
        <x:v>1490000</x:v>
      </x:c>
      <x:c r="C6" s="104" t="n">
        <x:f>'04_Mode_Params'!D5/(IF('02_Inputs'!$D$13=0,'02_Inputs'!$D$5,(1-(1+'02_Inputs'!$D$13)^-'02_Inputs'!$D$5)/'02_Inputs'!$D$13))+'04_Mode_Params'!D17-'04_Mode_Params'!D7</x:f>
        <x:v>1828303.47200982</x:v>
      </x:c>
      <x:c r="D6" s="104" t="n">
        <x:f>'04_Mode_Params'!D6</x:f>
        <x:v>1000000</x:v>
      </x:c>
      <x:c r="E6" s="104" t="n">
        <x:f>D6-C6</x:f>
        <x:v>-828303.4720098199</x:v>
      </x:c>
      <x:c r="F6" s="60" t="str">
        <x:v>若Laas CAPEX和平台升级成本更高，所需年费通常高于普通托管。</x:v>
      </x:c>
    </x:row>
    <x:row r="9">
      <x:c r="A9" s="44" t="str">
        <x:v>年费敏感性</x:v>
      </x:c>
      <x:c r="B9" s="44" t="str">
        <x:v>80万</x:v>
      </x:c>
      <x:c r="C9" s="44" t="str">
        <x:v>90万</x:v>
      </x:c>
      <x:c r="D9" s="44" t="str">
        <x:v>100万</x:v>
      </x:c>
      <x:c r="E9" s="44" t="str">
        <x:v>110万</x:v>
      </x:c>
      <x:c r="F9" s="44" t="str">
        <x:v>120万</x:v>
      </x:c>
      <x:c r="G9" s="44" t="str">
        <x:v>140万</x:v>
      </x:c>
      <x:c r="H9" s="44" t="str">
        <x:v>160万</x:v>
      </x:c>
    </x:row>
    <x:row r="10">
      <x:c r="A10" s="130" t="str">
        <x:v>能源托管/EMC 10年ROI</x:v>
      </x:c>
      <x:c r="B10" s="131" t="n">
        <x:f>((800000+'04_Mode_Params'!$C$7-'04_Mode_Params'!$C$17)*'02_Inputs'!$D$5-'04_Mode_Params'!$C$5)/'04_Mode_Params'!$C$5</x:f>
        <x:v>-0.6</x:v>
      </x:c>
      <x:c r="C10" s="131" t="n">
        <x:f>((900000+'04_Mode_Params'!$C$7-'04_Mode_Params'!$C$17)*'02_Inputs'!$D$5-'04_Mode_Params'!$C$5)/'04_Mode_Params'!$C$5</x:f>
        <x:v>-0.4</x:v>
      </x:c>
      <x:c r="D10" s="131" t="n">
        <x:f>((1000000+'04_Mode_Params'!$C$7-'04_Mode_Params'!$C$17)*'02_Inputs'!$D$5-'04_Mode_Params'!$C$5)/'04_Mode_Params'!$C$5</x:f>
        <x:v>-0.2</x:v>
      </x:c>
      <x:c r="E10" s="131" t="n">
        <x:f>((1100000+'04_Mode_Params'!$C$7-'04_Mode_Params'!$C$17)*'02_Inputs'!$D$5-'04_Mode_Params'!$C$5)/'04_Mode_Params'!$C$5</x:f>
        <x:v>0</x:v>
      </x:c>
      <x:c r="F10" s="131" t="n">
        <x:f>((1200000+'04_Mode_Params'!$C$7-'04_Mode_Params'!$C$17)*'02_Inputs'!$D$5-'04_Mode_Params'!$C$5)/'04_Mode_Params'!$C$5</x:f>
        <x:v>0.2</x:v>
      </x:c>
      <x:c r="G10" s="131" t="n">
        <x:f>((1400000+'04_Mode_Params'!$C$7-'04_Mode_Params'!$C$17)*'02_Inputs'!$D$5-'04_Mode_Params'!$C$5)/'04_Mode_Params'!$C$5</x:f>
        <x:v>0.6</x:v>
      </x:c>
      <x:c r="H10" s="131" t="n">
        <x:f>((1600000+'04_Mode_Params'!$C$7-'04_Mode_Params'!$C$17)*'02_Inputs'!$D$5-'04_Mode_Params'!$C$5)/'04_Mode_Params'!$C$5</x:f>
        <x:v>1</x:v>
      </x:c>
    </x:row>
    <x:row r="11">
      <x:c r="A11" s="130" t="str">
        <x:v>能源托管/EMC 年度净经营现金流</x:v>
      </x:c>
      <x:c r="B11" s="132" t="n">
        <x:f>800000+'04_Mode_Params'!$C$7-'04_Mode_Params'!$C$17</x:f>
        <x:v>200000</x:v>
      </x:c>
      <x:c r="C11" s="132" t="n">
        <x:f>900000+'04_Mode_Params'!$C$7-'04_Mode_Params'!$C$17</x:f>
        <x:v>300000</x:v>
      </x:c>
      <x:c r="D11" s="132" t="n">
        <x:f>1000000+'04_Mode_Params'!$C$7-'04_Mode_Params'!$C$17</x:f>
        <x:v>400000</x:v>
      </x:c>
      <x:c r="E11" s="132" t="n">
        <x:f>1100000+'04_Mode_Params'!$C$7-'04_Mode_Params'!$C$17</x:f>
        <x:v>500000</x:v>
      </x:c>
      <x:c r="F11" s="132" t="n">
        <x:f>1200000+'04_Mode_Params'!$C$7-'04_Mode_Params'!$C$17</x:f>
        <x:v>600000</x:v>
      </x:c>
      <x:c r="G11" s="132" t="n">
        <x:f>1400000+'04_Mode_Params'!$C$7-'04_Mode_Params'!$C$17</x:f>
        <x:v>800000</x:v>
      </x:c>
      <x:c r="H11" s="132" t="n">
        <x:f>1600000+'04_Mode_Params'!$C$7-'04_Mode_Params'!$C$17</x:f>
        <x:v>1000000</x:v>
      </x:c>
    </x:row>
    <x:row r="12">
      <x:c r="A12" s="130" t="str">
        <x:v>LaaS/AI订阅 10年ROI</x:v>
      </x:c>
      <x:c r="B12" s="131" t="n">
        <x:f>((800000+'04_Mode_Params'!$D$7-'04_Mode_Params'!$D$17)*'02_Inputs'!$D$5-'04_Mode_Params'!$D$5)/'04_Mode_Params'!$D$5</x:f>
        <x:v>-1</x:v>
      </x:c>
      <x:c r="C12" s="131" t="n">
        <x:f>((900000+'04_Mode_Params'!$D$7-'04_Mode_Params'!$D$17)*'02_Inputs'!$D$5-'04_Mode_Params'!$D$5)/'04_Mode_Params'!$D$5</x:f>
        <x:v>-0.855072463768116</x:v>
      </x:c>
      <x:c r="D12" s="131" t="n">
        <x:f>((1000000+'04_Mode_Params'!$D$7-'04_Mode_Params'!$D$17)*'02_Inputs'!$D$5-'04_Mode_Params'!$D$5)/'04_Mode_Params'!$D$5</x:f>
        <x:v>-0.7101449275362319</x:v>
      </x:c>
      <x:c r="E12" s="131" t="n">
        <x:f>((1100000+'04_Mode_Params'!$D$7-'04_Mode_Params'!$D$17)*'02_Inputs'!$D$5-'04_Mode_Params'!$D$5)/'04_Mode_Params'!$D$5</x:f>
        <x:v>-0.5652173913043478</x:v>
      </x:c>
      <x:c r="F12" s="131" t="n">
        <x:f>((1200000+'04_Mode_Params'!$D$7-'04_Mode_Params'!$D$17)*'02_Inputs'!$D$5-'04_Mode_Params'!$D$5)/'04_Mode_Params'!$D$5</x:f>
        <x:v>-0.42028985507246375</x:v>
      </x:c>
      <x:c r="G12" s="131" t="n">
        <x:f>((1400000+'04_Mode_Params'!$D$7-'04_Mode_Params'!$D$17)*'02_Inputs'!$D$5-'04_Mode_Params'!$D$5)/'04_Mode_Params'!$D$5</x:f>
        <x:v>-0.13043478260869565</x:v>
      </x:c>
      <x:c r="H12" s="131" t="n">
        <x:f>((1600000+'04_Mode_Params'!$D$7-'04_Mode_Params'!$D$17)*'02_Inputs'!$D$5-'04_Mode_Params'!$D$5)/'04_Mode_Params'!$D$5</x:f>
        <x:v>0.15942028985507245</x:v>
      </x:c>
    </x:row>
    <x:row r="13">
      <x:c r="A13" s="130" t="str">
        <x:v>LaaS/AI订阅 年度净经营现金流</x:v>
      </x:c>
      <x:c r="B13" s="132" t="n">
        <x:f>800000+'04_Mode_Params'!$D$7-'04_Mode_Params'!$D$17</x:f>
        <x:v>0</x:v>
      </x:c>
      <x:c r="C13" s="132" t="n">
        <x:f>900000+'04_Mode_Params'!$D$7-'04_Mode_Params'!$D$17</x:f>
        <x:v>100000</x:v>
      </x:c>
      <x:c r="D13" s="132" t="n">
        <x:f>1000000+'04_Mode_Params'!$D$7-'04_Mode_Params'!$D$17</x:f>
        <x:v>200000</x:v>
      </x:c>
      <x:c r="E13" s="132" t="n">
        <x:f>1100000+'04_Mode_Params'!$D$7-'04_Mode_Params'!$D$17</x:f>
        <x:v>300000</x:v>
      </x:c>
      <x:c r="F13" s="132" t="n">
        <x:f>1200000+'04_Mode_Params'!$D$7-'04_Mode_Params'!$D$17</x:f>
        <x:v>400000</x:v>
      </x:c>
      <x:c r="G13" s="132" t="n">
        <x:f>1400000+'04_Mode_Params'!$D$7-'04_Mode_Params'!$D$17</x:f>
        <x:v>600000</x:v>
      </x:c>
      <x:c r="H13" s="132" t="n">
        <x:f>1600000+'04_Mode_Params'!$D$7-'04_Mode_Params'!$D$17</x:f>
        <x:v>800000</x:v>
      </x:c>
    </x:row>
    <x:row r="16">
      <x:c r="A16" s="44" t="str">
        <x:v>节电率敏感性</x:v>
      </x:c>
      <x:c r="B16" s="44" t="str">
        <x:v>40%</x:v>
      </x:c>
      <x:c r="C16" s="44" t="str">
        <x:v>45%</x:v>
      </x:c>
      <x:c r="D16" s="44" t="str">
        <x:v>50%</x:v>
      </x:c>
      <x:c r="E16" s="44" t="str">
        <x:v>55%</x:v>
      </x:c>
      <x:c r="F16" s="44" t="str">
        <x:v>60%</x:v>
      </x:c>
      <x:c r="G16" s="44" t="str">
        <x:v>65%</x:v>
      </x:c>
      <x:c r="H16" s="44" t="str">
        <x:v>70%</x:v>
      </x:c>
    </x:row>
    <x:row r="17">
      <x:c r="A17" s="130" t="str">
        <x:v>能源托管/EMC 业主年净节省</x:v>
      </x:c>
      <x:c r="B17" s="132" t="n">
        <x:f>'03_Baseline'!$D$15-('03_Baseline'!$D$12*(1-0.4)*(1-'04_Mode_Params'!$C$10)+'04_Mode_Params'!$C$6+'02_Inputs'!$D$17)</x:f>
        <x:v>102250</x:v>
      </x:c>
      <x:c r="C17" s="132" t="n">
        <x:f>'03_Baseline'!$D$15-('03_Baseline'!$D$12*(1-0.45)*(1-'04_Mode_Params'!$C$10)+'04_Mode_Params'!$C$6+'02_Inputs'!$D$17)</x:f>
        <x:v>177531.25</x:v>
      </x:c>
      <x:c r="D17" s="132" t="n">
        <x:f>'03_Baseline'!$D$15-('03_Baseline'!$D$12*(1-0.5)*(1-'04_Mode_Params'!$C$10)+'04_Mode_Params'!$C$6+'02_Inputs'!$D$17)</x:f>
        <x:v>252812.5</x:v>
      </x:c>
      <x:c r="E17" s="132" t="n">
        <x:f>'03_Baseline'!$D$15-('03_Baseline'!$D$12*(1-0.55)*(1-'04_Mode_Params'!$C$10)+'04_Mode_Params'!$C$6+'02_Inputs'!$D$17)</x:f>
        <x:v>328093.75</x:v>
      </x:c>
      <x:c r="F17" s="132" t="n">
        <x:f>'03_Baseline'!$D$15-('03_Baseline'!$D$12*(1-0.6)*(1-'04_Mode_Params'!$C$10)+'04_Mode_Params'!$C$6+'02_Inputs'!$D$17)</x:f>
        <x:v>403375</x:v>
      </x:c>
      <x:c r="G17" s="132" t="n">
        <x:f>'03_Baseline'!$D$15-('03_Baseline'!$D$12*(1-0.65)*(1-'04_Mode_Params'!$C$10)+'04_Mode_Params'!$C$6+'02_Inputs'!$D$17)</x:f>
        <x:v>478656.25</x:v>
      </x:c>
      <x:c r="H17" s="132" t="n">
        <x:f>'03_Baseline'!$D$15-('03_Baseline'!$D$12*(1-0.7)*(1-'04_Mode_Params'!$C$10)+'04_Mode_Params'!$C$6+'02_Inputs'!$D$17)</x:f>
        <x:v>553937.5</x:v>
      </x:c>
    </x:row>
    <x:row r="18">
      <x:c r="A18" s="130" t="str">
        <x:v>能源托管/EMC 业主节省率</x:v>
      </x:c>
      <x:c r="B18" s="131" t="n">
        <x:f>B17/'03_Baseline'!$D$15</x:f>
        <x:v>0.050981614210034276</x:v>
      </x:c>
      <x:c r="C18" s="131" t="n">
        <x:f>C17/'03_Baseline'!$D$15</x:f>
        <x:v>0.08851667186039265</x:v>
      </x:c>
      <x:c r="D18" s="131" t="n">
        <x:f>D17/'03_Baseline'!$D$15</x:f>
        <x:v>0.12605172951075103</x:v>
      </x:c>
      <x:c r="E18" s="131" t="n">
        <x:f>E17/'03_Baseline'!$D$15</x:f>
        <x:v>0.1635867871611094</x:v>
      </x:c>
      <x:c r="F18" s="131" t="n">
        <x:f>F17/'03_Baseline'!$D$15</x:f>
        <x:v>0.20112184481146775</x:v>
      </x:c>
      <x:c r="G18" s="131" t="n">
        <x:f>G17/'03_Baseline'!$D$15</x:f>
        <x:v>0.2386569024618261</x:v>
      </x:c>
      <x:c r="H18" s="131" t="n">
        <x:f>H17/'03_Baseline'!$D$15</x:f>
        <x:v>0.2761919601121845</x:v>
      </x:c>
    </x:row>
    <x:row r="19">
      <x:c r="A19" s="130" t="str">
        <x:v>LaaS/AI订阅 业主年净节省</x:v>
      </x:c>
      <x:c r="B19" s="132" t="n">
        <x:f>'03_Baseline'!$D$15-('03_Baseline'!$D$12*(1-0.4)*(1-'04_Mode_Params'!$D$10)+'04_Mode_Params'!$D$6+'02_Inputs'!$D$17)</x:f>
        <x:v>102250</x:v>
      </x:c>
      <x:c r="C19" s="132" t="n">
        <x:f>'03_Baseline'!$D$15-('03_Baseline'!$D$12*(1-0.45)*(1-'04_Mode_Params'!$D$10)+'04_Mode_Params'!$D$6+'02_Inputs'!$D$17)</x:f>
        <x:v>177531.25</x:v>
      </x:c>
      <x:c r="D19" s="132" t="n">
        <x:f>'03_Baseline'!$D$15-('03_Baseline'!$D$12*(1-0.5)*(1-'04_Mode_Params'!$D$10)+'04_Mode_Params'!$D$6+'02_Inputs'!$D$17)</x:f>
        <x:v>252812.5</x:v>
      </x:c>
      <x:c r="E19" s="132" t="n">
        <x:f>'03_Baseline'!$D$15-('03_Baseline'!$D$12*(1-0.55)*(1-'04_Mode_Params'!$D$10)+'04_Mode_Params'!$D$6+'02_Inputs'!$D$17)</x:f>
        <x:v>328093.75</x:v>
      </x:c>
      <x:c r="F19" s="132" t="n">
        <x:f>'03_Baseline'!$D$15-('03_Baseline'!$D$12*(1-0.6)*(1-'04_Mode_Params'!$D$10)+'04_Mode_Params'!$D$6+'02_Inputs'!$D$17)</x:f>
        <x:v>403375</x:v>
      </x:c>
      <x:c r="G19" s="132" t="n">
        <x:f>'03_Baseline'!$D$15-('03_Baseline'!$D$12*(1-0.65)*(1-'04_Mode_Params'!$D$10)+'04_Mode_Params'!$D$6+'02_Inputs'!$D$17)</x:f>
        <x:v>478656.25</x:v>
      </x:c>
      <x:c r="H19" s="132" t="n">
        <x:f>'03_Baseline'!$D$15-('03_Baseline'!$D$12*(1-0.7)*(1-'04_Mode_Params'!$D$10)+'04_Mode_Params'!$D$6+'02_Inputs'!$D$17)</x:f>
        <x:v>553937.5</x:v>
      </x:c>
    </x:row>
    <x:row r="20">
      <x:c r="A20" s="130" t="str">
        <x:v>LaaS/AI订阅 业主节省率</x:v>
      </x:c>
      <x:c r="B20" s="131" t="n">
        <x:f>B19/'03_Baseline'!$D$15</x:f>
        <x:v>0.050981614210034276</x:v>
      </x:c>
      <x:c r="C20" s="131" t="n">
        <x:f>C19/'03_Baseline'!$D$15</x:f>
        <x:v>0.08851667186039265</x:v>
      </x:c>
      <x:c r="D20" s="131" t="n">
        <x:f>D19/'03_Baseline'!$D$15</x:f>
        <x:v>0.12605172951075103</x:v>
      </x:c>
      <x:c r="E20" s="131" t="n">
        <x:f>E19/'03_Baseline'!$D$15</x:f>
        <x:v>0.1635867871611094</x:v>
      </x:c>
      <x:c r="F20" s="131" t="n">
        <x:f>F19/'03_Baseline'!$D$15</x:f>
        <x:v>0.20112184481146775</x:v>
      </x:c>
      <x:c r="G20" s="131" t="n">
        <x:f>G19/'03_Baseline'!$D$15</x:f>
        <x:v>0.2386569024618261</x:v>
      </x:c>
      <x:c r="H20" s="131" t="n">
        <x:f>H19/'03_Baseline'!$D$15</x:f>
        <x:v>0.2761919601121845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18" hidden="0" customWidth="1"/>
    <x:col min="5" max="5" width="14" hidden="0" customWidth="1"/>
    <x:col min="6" max="6" width="42" hidden="0" customWidth="1"/>
    <x:col min="7" max="7" width="42" hidden="0" customWidth="1"/>
  </x:cols>
  <x:sheetData>
    <x:row r="1" ht="26" customHeight="1">
      <x:c r="A1" s="3" t="str">
        <x:v>模型逻辑复核｜关键公式与常识校验</x:v>
      </x:c>
      <x:c r="B1" s="3"/>
      <x:c r="C1" s="3"/>
      <x:c r="D1" s="3"/>
      <x:c r="E1" s="3"/>
      <x:c r="F1" s="3"/>
      <x:c r="G1" s="3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本页用于排查常见错误：成本是否被当作收入、业主支出是否双算、服务商其他收入是否误加给业主、电费承担方是否拆分正确。</x:v>
      </x:c>
      <x:c r="B2" s="6"/>
      <x:c r="C2" s="6"/>
      <x:c r="D2" s="6"/>
      <x:c r="E2" s="6"/>
      <x:c r="F2" s="6"/>
      <x:c r="G2" s="6"/>
    </x:row>
    <x:row r="4">
      <x:c r="A4" s="44" t="str">
        <x:v>校验项</x:v>
      </x:c>
      <x:c r="B4" s="44" t="str">
        <x:v>检查公式</x:v>
      </x:c>
      <x:c r="C4" s="44" t="str">
        <x:v>能源托管结果</x:v>
      </x:c>
      <x:c r="D4" s="44" t="str">
        <x:v>LaaS结果</x:v>
      </x:c>
      <x:c r="E4" s="44" t="str">
        <x:v>状态</x:v>
      </x:c>
      <x:c r="F4" s="44" t="str">
        <x:v>错误含义</x:v>
      </x:c>
      <x:c r="G4" s="44" t="str">
        <x:v>修正方法</x:v>
      </x:c>
    </x:row>
    <x:row r="5">
      <x:c r="A5" s="45" t="str">
        <x:v>Y1服务商净现金流=收入−成本</x:v>
      </x:c>
      <x:c r="B5" s="60" t="str">
        <x:v>Y1净现金流应等于年度总收入−年度总现金成本</x:v>
      </x:c>
      <x:c r="C5" s="60" t="b">
        <x:f>ABS('05_Annual_Model'!D23-('05_Annual_Model'!D21-'05_Annual_Model'!D22))&lt;1</x:f>
        <x:v>1</x:v>
      </x:c>
      <x:c r="D5" s="60" t="b">
        <x:f>ABS('05_Annual_Model'!D50-('05_Annual_Model'!D48-'05_Annual_Model'!D49))&lt;1</x:f>
        <x:v>1</x:v>
      </x:c>
      <x:c r="E5" s="60" t="str">
        <x:f>IF(AND(C5=TRUE,D5=TRUE),"OK","ERROR")</x:f>
        <x:v>OK</x:v>
      </x:c>
      <x:c r="F5" s="60" t="str">
        <x:v>若不等，说明成本符号或公式引用错误</x:v>
      </x:c>
      <x:c r="G5" s="60" t="str">
        <x:v>检查Annual_Model服务商现金流区</x:v>
      </x:c>
    </x:row>
    <x:row r="6">
      <x:c r="A6" s="45" t="str">
        <x:v>Y0服务商净现金流=-初始CAPEX</x:v>
      </x:c>
      <x:c r="B6" s="60" t="str">
        <x:v>Y0净现金流应等于0−Y0总现金成本</x:v>
      </x:c>
      <x:c r="C6" s="60" t="b">
        <x:f>ABS('05_Annual_Model'!C23+( '05_Annual_Model'!C12))&lt;1</x:f>
        <x:v>1</x:v>
      </x:c>
      <x:c r="D6" s="60" t="b">
        <x:f>ABS('05_Annual_Model'!C50+('05_Annual_Model'!C39))&lt;1</x:f>
        <x:v>1</x:v>
      </x:c>
      <x:c r="E6" s="60" t="str">
        <x:f>IF(AND(C6=TRUE,D6=TRUE),"OK","ERROR")</x:f>
        <x:v>OK</x:v>
      </x:c>
      <x:c r="F6" s="60" t="str">
        <x:v>若不等，说明CAPEX没有在Y0扣减</x:v>
      </x:c>
      <x:c r="G6" s="60" t="str">
        <x:v>检查Annual_Model Y0列</x:v>
      </x:c>
    </x:row>
    <x:row r="7">
      <x:c r="A7" s="45" t="str">
        <x:v>成本行均为正数</x:v>
      </x:c>
      <x:c r="B7" s="60" t="str">
        <x:v>CAPEX/运维/平台/备件/电费成本应≥0</x:v>
      </x:c>
      <x:c r="C7" s="60" t="b">
        <x:f>MIN('05_Annual_Model'!C12:M12,'05_Annual_Model'!C17:M20)&gt;=0</x:f>
        <x:v>1</x:v>
      </x:c>
      <x:c r="D7" s="60" t="b">
        <x:f>MIN('05_Annual_Model'!C39:M39,'05_Annual_Model'!C44:M47)&gt;=0</x:f>
        <x:v>1</x:v>
      </x:c>
      <x:c r="E7" s="60" t="str">
        <x:f>IF(AND(C7=TRUE,D7=TRUE),"OK","ERROR")</x:f>
        <x:v>OK</x:v>
      </x:c>
      <x:c r="F7" s="60" t="str">
        <x:v>若为负，说明又回到了“负成本相加”的口径</x:v>
      </x:c>
      <x:c r="G7" s="60" t="str">
        <x:v>把成本作为正数并在净现金流中扣减</x:v>
      </x:c>
    </x:row>
    <x:row r="8">
      <x:c r="A8" s="45" t="str">
        <x:v>业主支出不含服务商第三方收入</x:v>
      </x:c>
      <x:c r="B8" s="60" t="str">
        <x:v>业主年度总支出=业主电费+服务费+保留管理成本</x:v>
      </x:c>
      <x:c r="C8" s="60" t="b">
        <x:f>ABS('05_Annual_Model'!D34-('05_Annual_Model'!D31+'05_Annual_Model'!D32+'05_Annual_Model'!D33))&lt;1</x:f>
        <x:v>1</x:v>
      </x:c>
      <x:c r="D8" s="60" t="b">
        <x:f>ABS('05_Annual_Model'!D61-('05_Annual_Model'!D58+'05_Annual_Model'!D59+'05_Annual_Model'!D60))&lt;1</x:f>
        <x:v>1</x:v>
      </x:c>
      <x:c r="E8" s="60" t="str">
        <x:f>IF(AND(C8=TRUE,D8=TRUE),"OK","ERROR")</x:f>
        <x:v>OK</x:v>
      </x:c>
      <x:c r="F8" s="60" t="str">
        <x:v>若不等，说明把服务商其他收入误算成业主支出</x:v>
      </x:c>
      <x:c r="G8" s="60" t="str">
        <x:v>第三方收入只进服务商收入，不进业主支出</x:v>
      </x:c>
    </x:row>
    <x:row r="9">
      <x:c r="A9" s="45" t="str">
        <x:v>电费承担方拆分正确</x:v>
      </x:c>
      <x:c r="B9" s="60" t="str">
        <x:v>服务商电费成本+业主支付电费=节电后电费总额</x:v>
      </x:c>
      <x:c r="C9" s="60" t="b">
        <x:f>ABS(('05_Annual_Model'!D17+'05_Annual_Model'!D31)-'05_Annual_Model'!D16)&lt;1</x:f>
        <x:v>1</x:v>
      </x:c>
      <x:c r="D9" s="60" t="b">
        <x:f>ABS(('05_Annual_Model'!D44+'05_Annual_Model'!D58)-'05_Annual_Model'!D43)&lt;1</x:f>
        <x:v>1</x:v>
      </x:c>
      <x:c r="E9" s="60" t="str">
        <x:f>IF(AND(C9=TRUE,D9=TRUE),"OK","ERROR")</x:f>
        <x:v>OK</x:v>
      </x:c>
      <x:c r="F9" s="60" t="str">
        <x:v>若不等，说明电费被重复计入或漏计</x:v>
      </x:c>
      <x:c r="G9" s="60" t="str">
        <x:v>检查服务商是否承担电费开关</x:v>
      </x:c>
    </x:row>
    <x:row r="10">
      <x:c r="A10" s="45" t="str">
        <x:v>累计现金流连贯</x:v>
      </x:c>
      <x:c r="B10" s="60" t="str">
        <x:v>Y2累计=Y1累计+Y2净现金流</x:v>
      </x:c>
      <x:c r="C10" s="60" t="b">
        <x:f>ABS('05_Annual_Model'!E24-('05_Annual_Model'!D24+'05_Annual_Model'!E23))&lt;1</x:f>
        <x:v>1</x:v>
      </x:c>
      <x:c r="D10" s="60" t="b">
        <x:f>ABS('05_Annual_Model'!E51-('05_Annual_Model'!D51+'05_Annual_Model'!E50))&lt;1</x:f>
        <x:v>1</x:v>
      </x:c>
      <x:c r="E10" s="60" t="str">
        <x:f>IF(AND(C10=TRUE,D10=TRUE),"OK","ERROR")</x:f>
        <x:v>OK</x:v>
      </x:c>
      <x:c r="F10" s="60" t="str">
        <x:v>若不等，说明累计现金流断链</x:v>
      </x:c>
      <x:c r="G10" s="60" t="str">
        <x:v>检查累计现金流公式</x:v>
      </x:c>
    </x:row>
    <x:row r="11">
      <x:c r="A11" s="45" t="str">
        <x:v>业主净节省口径正确</x:v>
      </x:c>
      <x:c r="B11" s="60" t="str">
        <x:v>业主净节省=不改造总成本−业主总支出</x:v>
      </x:c>
      <x:c r="C11" s="60" t="b">
        <x:f>ABS('05_Annual_Model'!D35-('05_Annual_Model'!D8-'05_Annual_Model'!D34))&lt;1</x:f>
        <x:v>1</x:v>
      </x:c>
      <x:c r="D11" s="60" t="b">
        <x:f>ABS('05_Annual_Model'!D62-('05_Annual_Model'!D8-'05_Annual_Model'!D61))&lt;1</x:f>
        <x:v>1</x:v>
      </x:c>
      <x:c r="E11" s="60" t="str">
        <x:f>IF(AND(C11=TRUE,D11=TRUE),"OK","ERROR")</x:f>
        <x:v>OK</x:v>
      </x:c>
      <x:c r="F11" s="60" t="str">
        <x:v>若不等，说明节省额口径错误</x:v>
      </x:c>
      <x:c r="G11" s="60" t="str">
        <x:v>检查业主侧公式</x:v>
      </x:c>
    </x:row>
    <x:row r="12">
      <x:c r="A12" s="45" t="str">
        <x:v>静态回收期不能早于累计现金流转正</x:v>
      </x:c>
      <x:c r="B12" s="60" t="str">
        <x:v>若M累计现金流&lt;0，回收期必须显示未回收</x:v>
      </x:c>
      <x:c r="C12" s="60" t="b">
        <x:f>IF('05_Annual_Model'!M24&lt;0,'05_Annual_Model'!C28="未回收",TRUE)</x:f>
        <x:v>1</x:v>
      </x:c>
      <x:c r="D12" s="60" t="b">
        <x:f>IF('05_Annual_Model'!M51&lt;0,'05_Annual_Model'!C55="未回收",TRUE)</x:f>
        <x:v>1</x:v>
      </x:c>
      <x:c r="E12" s="60" t="str">
        <x:f>IF(AND(C12=TRUE,D12=TRUE),"OK","ERROR")</x:f>
        <x:v>OK</x:v>
      </x:c>
      <x:c r="F12" s="60" t="str">
        <x:v>若错误，说明回收期引用了错误行</x:v>
      </x:c>
      <x:c r="G12" s="60" t="str">
        <x:v>检查回收期公式引用累计现金流行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30" hidden="0" customWidth="1"/>
    <x:col min="5" max="5" width="42" hidden="0" customWidth="1"/>
    <x:col min="6" max="6" width="30" hidden="0" customWidth="1"/>
  </x:cols>
  <x:sheetData>
    <x:row r="1" ht="26" customHeight="1">
      <x:c r="A1" s="3" t="str">
        <x:v>计算逻辑说明｜修正版</x:v>
      </x:c>
      <x:c r="B1" s="3"/>
      <x:c r="C1" s="3"/>
      <x:c r="D1" s="3"/>
      <x:c r="E1" s="3"/>
      <x:c r="F1" s="3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 t="str">
        <x:v>重点：将“业主视角”和“服务商视角”分开；将“收入、成本、节省”分开；不把成本写成负数再与收入相加。</x:v>
      </x:c>
      <x:c r="B2" s="6"/>
      <x:c r="C2" s="6"/>
      <x:c r="D2" s="6"/>
      <x:c r="E2" s="6"/>
      <x:c r="F2" s="6"/>
    </x:row>
    <x:row r="4">
      <x:c r="A4" s="44" t="str">
        <x:v>模块</x:v>
      </x:c>
      <x:c r="B4" s="44" t="str">
        <x:v>公式</x:v>
      </x:c>
      <x:c r="C4" s="44" t="str">
        <x:v>解释</x:v>
      </x:c>
      <x:c r="D4" s="44" t="str">
        <x:v>对应工作表</x:v>
      </x:c>
      <x:c r="E4" s="44" t="str">
        <x:v>常见错误</x:v>
      </x:c>
      <x:c r="F4" s="44" t="str">
        <x:v>可调整项</x:v>
      </x:c>
    </x:row>
    <x:row r="5">
      <x:c r="A5" s="45" t="str">
        <x:v>现状年用电量</x:v>
      </x:c>
      <x:c r="B5" s="60" t="str">
        <x:v>灯具数量×单灯功率÷1000×每日亮灯小时×年运行天数</x:v>
      </x:c>
      <x:c r="C5" s="60" t="str">
        <x:v>将每盏灯功率转换为kW后乘以全年运行小时。</x:v>
      </x:c>
      <x:c r="D5" s="60" t="str">
        <x:v>03_Baseline</x:v>
      </x:c>
      <x:c r="E5" s="60" t="str">
        <x:v>只用灯数但漏掉功率/时长，会导致电费无意义。</x:v>
      </x:c>
      <x:c r="F5" s="60" t="str">
        <x:v>灯具数量、功率、亮灯小时</x:v>
      </x:c>
    </x:row>
    <x:row r="6">
      <x:c r="A6" s="45" t="str">
        <x:v>基准年电费</x:v>
      </x:c>
      <x:c r="B6" s="60" t="str">
        <x:v>现状年用电量×电价</x:v>
      </x:c>
      <x:c r="C6" s="60" t="str">
        <x:v>不改造情形的电费基准。</x:v>
      </x:c>
      <x:c r="D6" s="60" t="str">
        <x:v>03_Baseline</x:v>
      </x:c>
      <x:c r="E6" s="60" t="str">
        <x:v>把节电后的电费用作基准，会高估节省。</x:v>
      </x:c>
      <x:c r="F6" s="60" t="str">
        <x:v>电价</x:v>
      </x:c>
    </x:row>
    <x:row r="7">
      <x:c r="A7" s="45" t="str">
        <x:v>基准年运维费</x:v>
      </x:c>
      <x:c r="B7" s="60" t="str">
        <x:v>灯具数量×现状运维单价</x:v>
      </x:c>
      <x:c r="C7" s="60" t="str">
        <x:v>不改造情形的运维基准。</x:v>
      </x:c>
      <x:c r="D7" s="60" t="str">
        <x:v>03_Baseline</x:v>
      </x:c>
      <x:c r="E7" s="60" t="str">
        <x:v>把服务商运维成本和业主现状运维费混用。</x:v>
      </x:c>
      <x:c r="F7" s="60" t="str">
        <x:v>现状运维单价</x:v>
      </x:c>
    </x:row>
    <x:row r="8">
      <x:c r="A8" s="45" t="str">
        <x:v>节电后电费总额</x:v>
      </x:c>
      <x:c r="B8" s="60" t="str">
        <x:v>基准电费×(1−综合节电率)</x:v>
      </x:c>
      <x:c r="C8" s="60" t="str">
        <x:v>先计算物理电费，再按承担方开关分配。</x:v>
      </x:c>
      <x:c r="D8" s="60" t="str">
        <x:v>04_Mode_Params / 05_Annual_Model</x:v>
      </x:c>
      <x:c r="E8" s="60" t="str">
        <x:v>没有区分“电费由谁付”，会导致业主/服务商双算或漏算。</x:v>
      </x:c>
      <x:c r="F8" s="60" t="str">
        <x:v>节电率、承担电费开关</x:v>
      </x:c>
    </x:row>
    <x:row r="9">
      <x:c r="A9" s="158" t="str">
        <x:v>服务商年度收入</x:v>
      </x:c>
      <x:c r="B9" s="159" t="str">
        <x:v>服务费/订阅费+其他/第三方收入+资产转让收入</x:v>
      </x:c>
      <x:c r="C9" s="159" t="str">
        <x:v>服务商收入项。默认第三方收入不计入业主支出。</x:v>
      </x:c>
      <x:c r="D9" s="159" t="str">
        <x:v>05_Annual_Model</x:v>
      </x:c>
      <x:c r="E9" s="159" t="str">
        <x:v>把第三方收入也算成业主支出，导致业主侧多算。</x:v>
      </x:c>
      <x:c r="F9" s="159" t="str">
        <x:v>年费、其他收入、资产转让</x:v>
      </x:c>
    </x:row>
    <x:row r="10">
      <x:c r="A10" s="158" t="str">
        <x:v>服务商年度现金成本</x:v>
      </x:c>
      <x:c r="B10" s="159" t="str">
        <x:v>CAPEX+服务商电费成本+运维成本+平台成本+备件储备</x:v>
      </x:c>
      <x:c r="C10" s="159" t="str">
        <x:v>所有成本均按正数列示，净现金流公式中扣减。</x:v>
      </x:c>
      <x:c r="D10" s="159" t="str">
        <x:v>05_Annual_Model</x:v>
      </x:c>
      <x:c r="E10" s="159" t="str">
        <x:v>成本用负数列示又在净现金流中扣减，会双重扣减。</x:v>
      </x:c>
      <x:c r="F10" s="159" t="str">
        <x:v>CAPEX、运维、平台、备件</x:v>
      </x:c>
    </x:row>
    <x:row r="11">
      <x:c r="A11" s="158" t="str">
        <x:v>服务商年度净现金流</x:v>
      </x:c>
      <x:c r="B11" s="159" t="str">
        <x:v>年度总收入−年度总现金成本</x:v>
      </x:c>
      <x:c r="C11" s="159" t="str">
        <x:v>Y0通常为−CAPEX，Y1-Y10为经营现金流。</x:v>
      </x:c>
      <x:c r="D11" s="159" t="str">
        <x:v>05_Annual_Model</x:v>
      </x:c>
      <x:c r="E11" s="159" t="str">
        <x:v>写成服务收入+运维成本+平台成本。</x:v>
      </x:c>
      <x:c r="F11" s="159" t="str">
        <x:v>所有收入成本项</x:v>
      </x:c>
    </x:row>
    <x:row r="12">
      <x:c r="A12" s="45" t="str">
        <x:v>业主年度总支出</x:v>
      </x:c>
      <x:c r="B12" s="60" t="str">
        <x:v>业主支付电费+服务费/订阅费+业主保留管理成本</x:v>
      </x:c>
      <x:c r="C12" s="60" t="str">
        <x:v>服务费是业主支出，不是业主收益。</x:v>
      </x:c>
      <x:c r="D12" s="60" t="str">
        <x:v>05_Annual_Model</x:v>
      </x:c>
      <x:c r="E12" s="60" t="str">
        <x:v>把服务商收入当成业主节省，或把服务商成本加给业主。</x:v>
      </x:c>
      <x:c r="F12" s="60" t="str">
        <x:v>年费、电费承担方、保留管理成本</x:v>
      </x:c>
    </x:row>
    <x:row r="13">
      <x:c r="A13" s="45" t="str">
        <x:v>业主净节省</x:v>
      </x:c>
      <x:c r="B13" s="60" t="str">
        <x:v>不改造基准总成本−业主年度总支出</x:v>
      </x:c>
      <x:c r="C13" s="60" t="str">
        <x:v>判断业主是否有采用模式的经济理由。</x:v>
      </x:c>
      <x:c r="D13" s="60" t="str">
        <x:v>04_Mode_Params / 05_Annual_Model</x:v>
      </x:c>
      <x:c r="E13" s="60" t="str">
        <x:v>只看节电金额，不扣服务费，会高估业主收益。</x:v>
      </x:c>
      <x:c r="F13" s="60" t="str">
        <x:v>节电率、年费</x:v>
      </x:c>
    </x:row>
    <x:row r="14">
      <x:c r="A14" s="45" t="str">
        <x:v>NPV</x:v>
      </x:c>
      <x:c r="B14" s="60" t="str">
        <x:v>NPV(折现率,Y1:Y10现金流)+Y0现金流</x:v>
      </x:c>
      <x:c r="C14" s="60" t="str">
        <x:v>判断服务商是否达到资金成本要求。</x:v>
      </x:c>
      <x:c r="D14" s="60" t="str">
        <x:v>05_Annual_Model</x:v>
      </x:c>
      <x:c r="E14" s="60" t="str">
        <x:v>只看静态回收而忽略资金时间价值。</x:v>
      </x:c>
      <x:c r="F14" s="60" t="str">
        <x:v>折现率、合同期</x:v>
      </x:c>
    </x:row>
    <x:row r="15">
      <x:c r="A15" s="45" t="str">
        <x:v>IRR</x:v>
      </x:c>
      <x:c r="B15" s="60" t="str">
        <x:v>IRR(Y0:Y10现金流)</x:v>
      </x:c>
      <x:c r="C15" s="60" t="str">
        <x:v>判断服务商项目内部收益率。</x:v>
      </x:c>
      <x:c r="D15" s="60" t="str">
        <x:v>05_Annual_Model</x:v>
      </x:c>
      <x:c r="E15" s="60" t="str">
        <x:v>现金流长期为负时，IRR没有经营决策意义。</x:v>
      </x:c>
      <x:c r="F15" s="60" t="str">
        <x:v>年费、CAPEX、成本</x:v>
      </x:c>
    </x:row>
    <x:row r="16">
      <x:c r="A16" s="45" t="str">
        <x:v>NPV=0所需年费</x:v>
      </x:c>
      <x:c r="B16" s="60" t="str">
        <x:v>CAPEX年金化+年度现金成本−其他收入</x:v>
      </x:c>
      <x:c r="C16" s="60" t="str">
        <x:v>反推服务商达到折现率要求的最低年费。</x:v>
      </x:c>
      <x:c r="D16" s="60" t="str">
        <x:v>06_Sensitivity</x:v>
      </x:c>
      <x:c r="E16" s="60" t="str">
        <x:v>把这个数当作业主可接受价格；它只是服务商底线。</x:v>
      </x:c>
      <x:c r="F16" s="60" t="str">
        <x:v>CAPEX、折现率、成本、其他收入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42" hidden="0" customWidth="1"/>
    <x:col min="5" max="5" width="32" hidden="0" customWidth="1"/>
  </x:cols>
  <x:sheetData>
    <x:row r="1" ht="26" customHeight="1">
      <x:c r="A1" s="3" t="str">
        <x:v>术语与口径说明</x:v>
      </x:c>
      <x:c r="B1" s="3"/>
      <x:c r="C1" s="3"/>
      <x:c r="D1" s="3"/>
      <x:c r="E1" s="3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2" customHeight="1">
      <x:c r="A2" s="6"/>
      <x:c r="B2" s="6"/>
      <x:c r="C2" s="6"/>
      <x:c r="D2" s="6"/>
      <x:c r="E2" s="6"/>
    </x:row>
    <x:row r="3">
      <x:c r="A3" s="44" t="str">
        <x:v>术语</x:v>
      </x:c>
      <x:c r="B3" s="44" t="str">
        <x:v>中文解释</x:v>
      </x:c>
      <x:c r="C3" s="44" t="str">
        <x:v>模型口径</x:v>
      </x:c>
      <x:c r="D3" s="44" t="str">
        <x:v>容易混淆点</x:v>
      </x:c>
      <x:c r="E3" s="44" t="str">
        <x:v>建议使用场景</x:v>
      </x:c>
    </x:row>
    <x:row r="4">
      <x:c r="A4" s="45" t="str">
        <x:v>能源托管/EMC</x:v>
      </x:c>
      <x:c r="B4" s="60" t="str">
        <x:v>服务商或第三方通过节能改造与管理获得服务费或节能收益。</x:v>
      </x:c>
      <x:c r="C4" s="60" t="str">
        <x:v>本模型以固定服务费为主，可叠加第三方收入、资产转让收入。</x:v>
      </x:c>
      <x:c r="D4" s="60" t="str">
        <x:v>节电收益不一定归服务商，必须看电费承担方和合同分配。</x:v>
      </x:c>
      <x:c r="E4" s="60" t="str">
        <x:v>政府/业主关注节能指标、费用不增加时。</x:v>
      </x:c>
    </x:row>
    <x:row r="5">
      <x:c r="A5" s="45" t="str">
        <x:v>LaaS/AI订阅</x:v>
      </x:c>
      <x:c r="B5" s="60" t="str">
        <x:v>Lighting as a Service，强调照明能力、平台、升级、运维的一体化订阅。</x:v>
      </x:c>
      <x:c r="C5" s="60" t="str">
        <x:v>本模型以订阅费为主，CAPEX和平台升级成本通常高于普通托管。</x:v>
      </x:c>
      <x:c r="D5" s="60" t="str">
        <x:v>不是传统租赁，不只是设备使用权，还包含持续升级和服务。</x:v>
      </x:c>
      <x:c r="E5" s="60" t="str">
        <x:v>需要打包功能迭代、AI调光、数字运维时。</x:v>
      </x:c>
    </x:row>
    <x:row r="6">
      <x:c r="A6" s="45" t="str">
        <x:v>业主年度服务费预算</x:v>
      </x:c>
      <x:c r="B6" s="60" t="str">
        <x:v>业主每年愿意/能够支付给服务商的预算。</x:v>
      </x:c>
      <x:c r="C6" s="60" t="str">
        <x:v>在模型中是业主支出、服务商收入。</x:v>
      </x:c>
      <x:c r="D6" s="60" t="str">
        <x:v>不能把它同时当作业主投资收益。</x:v>
      </x:c>
      <x:c r="E6" s="60" t="str">
        <x:v>看项目付费能力。</x:v>
      </x:c>
    </x:row>
    <x:row r="7">
      <x:c r="A7" s="45" t="str">
        <x:v>CAPEX</x:v>
      </x:c>
      <x:c r="B7" s="60" t="str">
        <x:v>资本性支出，项目初始建设投入。</x:v>
      </x:c>
      <x:c r="C7" s="60" t="str">
        <x:v>按每盏灯CAPEX×灯具数量计算，在Y0扣减。</x:v>
      </x:c>
      <x:c r="D7" s="60" t="str">
        <x:v>不要把CAPEX摊销当现金流；现金流看真实资金流出。</x:v>
      </x:c>
      <x:c r="E7" s="60" t="str">
        <x:v>测算服务商投资压力。</x:v>
      </x:c>
    </x:row>
    <x:row r="8">
      <x:c r="A8" s="45" t="str">
        <x:v>年度净经营现金流</x:v>
      </x:c>
      <x:c r="B8" s="60" t="str">
        <x:v>不含初始CAPEX的年度经营净流入。</x:v>
      </x:c>
      <x:c r="C8" s="60" t="str">
        <x:v>年度收入−年度现金成本。</x:v>
      </x:c>
      <x:c r="D8" s="60" t="str">
        <x:v>如果成本行是正数，公式必须是减法。</x:v>
      </x:c>
      <x:c r="E8" s="60" t="str">
        <x:v>看每年经营是否赚钱。</x:v>
      </x:c>
    </x:row>
    <x:row r="9">
      <x:c r="A9" s="45" t="str">
        <x:v>年度净现金流</x:v>
      </x:c>
      <x:c r="B9" s="60" t="str">
        <x:v>某一年全部现金流入减全部现金流出。</x:v>
      </x:c>
      <x:c r="C9" s="60" t="str">
        <x:v>Y0通常为−CAPEX，Y1-Y10为经营现金流。</x:v>
      </x:c>
      <x:c r="D9" s="60" t="str">
        <x:v>不要把成本当收入相加。</x:v>
      </x:c>
      <x:c r="E9" s="60" t="str">
        <x:v>看累计回收和IRR/NPV。</x:v>
      </x:c>
    </x:row>
    <x:row r="10">
      <x:c r="A10" s="45" t="str">
        <x:v>业主净节省</x:v>
      </x:c>
      <x:c r="B10" s="60" t="str">
        <x:v>业主采用模式后相对不改造省下的钱。</x:v>
      </x:c>
      <x:c r="C10" s="60" t="str">
        <x:v>基准总成本−改造后业主总支出。</x:v>
      </x:c>
      <x:c r="D10" s="60" t="str">
        <x:v>只看节电金额不扣服务费，会高估业主收益。</x:v>
      </x:c>
      <x:c r="E10" s="60" t="str">
        <x:v>判断政府/业主是否接受。</x:v>
      </x:c>
    </x:row>
    <x:row r="11">
      <x:c r="A11" s="45" t="str">
        <x:v>NPV</x:v>
      </x:c>
      <x:c r="B11" s="60" t="str">
        <x:v>净现值。</x:v>
      </x:c>
      <x:c r="C11" s="60" t="str">
        <x:v>未来现金流按折现率折回后加总。</x:v>
      </x:c>
      <x:c r="D11" s="60" t="str">
        <x:v>NPV为正才说明达到折现率要求。</x:v>
      </x:c>
      <x:c r="E11" s="60" t="str">
        <x:v>服务商投资决策。</x:v>
      </x:c>
    </x:row>
    <x:row r="12">
      <x:c r="A12" s="45" t="str">
        <x:v>IRR</x:v>
      </x:c>
      <x:c r="B12" s="60" t="str">
        <x:v>内部收益率。</x:v>
      </x:c>
      <x:c r="C12" s="60" t="str">
        <x:v>使项目NPV为0的收益率。</x:v>
      </x:c>
      <x:c r="D12" s="60" t="str">
        <x:v>现金流未回正时解释力有限。</x:v>
      </x:c>
      <x:c r="E12" s="60" t="str">
        <x:v>服务商投资回报比较。</x:v>
      </x:c>
    </x:row>
    <x:row r="13">
      <x:c r="A13" s="45" t="str">
        <x:v>静态回收期</x:v>
      </x:c>
      <x:c r="B13" s="60" t="str">
        <x:v>累计现金流转正所需年份。</x:v>
      </x:c>
      <x:c r="C13" s="60" t="str">
        <x:v>累计现金流首次≥0的年份。</x:v>
      </x:c>
      <x:c r="D13" s="60" t="str">
        <x:v>不考虑资金时间价值。</x:v>
      </x:c>
      <x:c r="E13" s="60" t="str">
        <x:v>对外沟通直观，但不能替代NPV。</x:v>
      </x:c>
    </x:row>
  </x:sheetData>
  <x:mergeCells>
    <x:mergeCell ref="A1:E1"/>
  </x:mergeCells>
  <x:pageMargins left="0.7" right="0.7" top="0.75" bottom="0.75" header="0.3" footer="0.3"/>
</x:worksheet>
</file>