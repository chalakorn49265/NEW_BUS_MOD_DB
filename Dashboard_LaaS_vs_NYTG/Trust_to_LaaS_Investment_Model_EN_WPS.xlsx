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Value_Drivers" sheetId="1" r:id="rId1"/>
    <sheet name="01_Dashboard" sheetId="2" r:id="rId2"/>
    <sheet name="02_Inputs" sheetId="3" r:id="rId3"/>
    <sheet name="03_Baseline" sheetId="4" r:id="rId4"/>
    <sheet name="04_Mode_Params" sheetId="5" r:id="rId5"/>
    <sheet name="05_Annual_Model" sheetId="6" r:id="rId6"/>
    <sheet name="06_Sensitivity" sheetId="7" r:id="rId7"/>
    <sheet name="07_Model_Checks" sheetId="8" r:id="rId8"/>
    <sheet name="08_Calc_Logic" sheetId="9" r:id="rId9"/>
    <sheet name="09_Glossary" sheetId="10" r:id="rId10"/>
    <sheet name="Story_and_Sources" sheetId="11" r:id="rId11"/>
    <sheet name="Inputs_Data_Raw" sheetId="12" r:id="rId12"/>
    <sheet name="Assumptions" sheetId="13" r:id="rId13"/>
    <sheet name="Scenarios_10" sheetId="14" r:id="rId14"/>
    <sheet name="Model_Calc" sheetId="15" r:id="rId15"/>
    <sheet name="Scenario_Tables" sheetId="16" r:id="rId16"/>
  </sheets>
  <calcPr calcId="124519" fullCalcOnLoad="1"/>
</workbook>
</file>

<file path=xl/sharedStrings.xml><?xml version="1.0" encoding="utf-8"?>
<sst xmlns="http://schemas.openxmlformats.org/spreadsheetml/2006/main" count="349" uniqueCount="188">
  <si>
    <t>Story_and_Sources</t>
  </si>
  <si>
    <t>Key assumptions with public source links</t>
  </si>
  <si>
    <t>Benchmarks</t>
  </si>
  <si>
    <t>Driver</t>
  </si>
  <si>
    <t>Metric</t>
  </si>
  <si>
    <t>Maps to</t>
  </si>
  <si>
    <t>Assumption cell</t>
  </si>
  <si>
    <t>URL</t>
  </si>
  <si>
    <t>Predictive maintenance</t>
  </si>
  <si>
    <t>O&amp;M reduction</t>
  </si>
  <si>
    <t>Staff/vehicles/materials %</t>
  </si>
  <si>
    <t>Assumptions!B5:B9</t>
  </si>
  <si>
    <t>https://oxmaint.com/industries/government/street-lighting-lamp-out-ai-detection</t>
  </si>
  <si>
    <t>Adaptive dimming</t>
  </si>
  <si>
    <t>Energy savings</t>
  </si>
  <si>
    <t>Electricity %</t>
  </si>
  <si>
    <t>Assumptions!B4</t>
  </si>
  <si>
    <t>https://mdpi-res.com/d_attachment/smartcities/smartcities-03-00071/article_deploy/smartcities-03-00071-v2.pdf?version=1607517901</t>
  </si>
  <si>
    <t>Inputs (from /data)</t>
  </si>
  <si>
    <t>Generated 2026-04-25</t>
  </si>
  <si>
    <t>Year</t>
  </si>
  <si>
    <t>Trust_fee</t>
  </si>
  <si>
    <t>Elec_OPEX</t>
  </si>
  <si>
    <t>Other_OPEX</t>
  </si>
  <si>
    <t>Cash_OPEX</t>
  </si>
  <si>
    <t>Depreciation</t>
  </si>
  <si>
    <t>Debt_service</t>
  </si>
  <si>
    <t>CAPEX_y0</t>
  </si>
  <si>
    <t>Assumptions (editable)</t>
  </si>
  <si>
    <t>All costs input as positive numbers; cashflow uses explicit subtraction</t>
  </si>
  <si>
    <t>OPEX factors</t>
  </si>
  <si>
    <t>Item</t>
  </si>
  <si>
    <t>Value</t>
  </si>
  <si>
    <t>Electricity reduction %</t>
  </si>
  <si>
    <t>Staff reduction %</t>
  </si>
  <si>
    <t>Vehicles reduction %</t>
  </si>
  <si>
    <t>Materials reduction %</t>
  </si>
  <si>
    <t>Management reduction %</t>
  </si>
  <si>
    <t>AI cap %</t>
  </si>
  <si>
    <t>Scenarios_10</t>
  </si>
  <si>
    <t>Tier inputs</t>
  </si>
  <si>
    <t>Tier</t>
  </si>
  <si>
    <t>Term_y</t>
  </si>
  <si>
    <t>OPEX_mode</t>
  </si>
  <si>
    <t>Base_fee_RMB</t>
  </si>
  <si>
    <t>Upfront_RMB</t>
  </si>
  <si>
    <t>TailDisc_RMB</t>
  </si>
  <si>
    <t>AI_red_pct</t>
  </si>
  <si>
    <t>Tier1_UniformAI_20</t>
  </si>
  <si>
    <t>uniform_pct</t>
  </si>
  <si>
    <t>Tier2_UniformAI_35</t>
  </si>
  <si>
    <t>Tier3_ElecOnly_40</t>
  </si>
  <si>
    <t>electricity_only_pct</t>
  </si>
  <si>
    <t>Tier4_ElecOnly_60</t>
  </si>
  <si>
    <t>Tier5_AISolar</t>
  </si>
  <si>
    <t>ai_plus_solar</t>
  </si>
  <si>
    <t>Tier6_Upfront_Prepay</t>
  </si>
  <si>
    <t>Tier7_TailDiscount</t>
  </si>
  <si>
    <t>Tier8_HigherFee_StrongerSLA</t>
  </si>
  <si>
    <t>Tier9_MidTerm_8y</t>
  </si>
  <si>
    <t>Tier10_Conservative</t>
  </si>
  <si>
    <t>Model_Calc</t>
  </si>
  <si>
    <t>Formulas + cached results for WPS</t>
  </si>
  <si>
    <t>Scenario summary (Year1)</t>
  </si>
  <si>
    <t>ClientPay_Y1</t>
  </si>
  <si>
    <t>BaselinePay_Y1</t>
  </si>
  <si>
    <t>ClientSavings_Y1</t>
  </si>
  <si>
    <t>LaaS_CashOPEX_Y1</t>
  </si>
  <si>
    <t>Generic model | Trust vs LaaS/AI subscription</t>
  </si>
  <si>
    <t>Start with 00_Value_Drivers, then review core KPIs here.</t>
  </si>
  <si>
    <t>Project baseline</t>
  </si>
  <si>
    <t>Lamps</t>
  </si>
  <si>
    <t>Baseline electricity (Y1)</t>
  </si>
  <si>
    <t>Baseline O&amp;M (Y1)</t>
  </si>
  <si>
    <t>Owner annual budget</t>
  </si>
  <si>
    <t>Core results (mode comparison)</t>
  </si>
  <si>
    <t>Trust/EMC</t>
  </si>
  <si>
    <t>LaaS/AI</t>
  </si>
  <si>
    <t>Notes</t>
  </si>
  <si>
    <t>10y cumulative net cashflow</t>
  </si>
  <si>
    <t>Includes Y0 CAPEX</t>
  </si>
  <si>
    <t>NPV</t>
  </si>
  <si>
    <t>Discount rate from Inputs</t>
  </si>
  <si>
    <t>IRR</t>
  </si>
  <si>
    <t>10 tiers (from Model_Calc)</t>
  </si>
  <si>
    <t>Savings_Y1</t>
  </si>
  <si>
    <t>LaaS_OPEX_Y1</t>
  </si>
  <si>
    <t>Scenario tables (all formulas)</t>
  </si>
  <si>
    <t>Baseline vs LaaS; 0..10 years</t>
  </si>
  <si>
    <t>Tier: Tier1_UniformAI_20</t>
  </si>
  <si>
    <t>year</t>
  </si>
  <si>
    <t>trust_capex</t>
  </si>
  <si>
    <t>trust_fee</t>
  </si>
  <si>
    <t>trust_cash_opex</t>
  </si>
  <si>
    <t>trust_net_cf</t>
  </si>
  <si>
    <t>trust_cum_cf</t>
  </si>
  <si>
    <t>laas_capex</t>
  </si>
  <si>
    <t>laas_fee</t>
  </si>
  <si>
    <t>laas_upfront</t>
  </si>
  <si>
    <t>laas_cash_opex</t>
  </si>
  <si>
    <t>laas_net_cf</t>
  </si>
  <si>
    <t>laas_cum_cf</t>
  </si>
  <si>
    <t>Tier: Tier2_UniformAI_35</t>
  </si>
  <si>
    <t>Tier: Tier3_ElecOnly_40</t>
  </si>
  <si>
    <t>Tier: Tier4_ElecOnly_60</t>
  </si>
  <si>
    <t>Tier: Tier5_AISolar</t>
  </si>
  <si>
    <t>Tier: Tier6_Upfront_Prepay</t>
  </si>
  <si>
    <t>Tier: Tier7_TailDiscount</t>
  </si>
  <si>
    <t>Tier: Tier8_HigherFee_StrongerSLA</t>
  </si>
  <si>
    <t>Tier: Tier9_MidTerm_8y</t>
  </si>
  <si>
    <t>Tier: Tier10_Conservative</t>
  </si>
  <si>
    <t>Inputs | Trust vs LaaS/AI</t>
  </si>
  <si>
    <t>Editable inputs; costs are positive; cashflow uses explicit subtraction.</t>
  </si>
  <si>
    <t>Module</t>
  </si>
  <si>
    <t>Unit</t>
  </si>
  <si>
    <t>Source</t>
  </si>
  <si>
    <t>Basics</t>
  </si>
  <si>
    <t>Horizon (years)</t>
  </si>
  <si>
    <t>y</t>
  </si>
  <si>
    <t>Fixed</t>
  </si>
  <si>
    <t>Discount rate</t>
  </si>
  <si>
    <t>%</t>
  </si>
  <si>
    <t>Default</t>
  </si>
  <si>
    <t>Used for NPV</t>
  </si>
  <si>
    <t>Baseline service fee (Y1)</t>
  </si>
  <si>
    <t>RMB/y</t>
  </si>
  <si>
    <t>data/income_analysis.csv</t>
  </si>
  <si>
    <t>data/opex.csv</t>
  </si>
  <si>
    <t>Baseline cash OPEX (Y1)</t>
  </si>
  <si>
    <t>CAPEX</t>
  </si>
  <si>
    <t>Initial CAPEX</t>
  </si>
  <si>
    <t>RMB</t>
  </si>
  <si>
    <t>data/capex.csv</t>
  </si>
  <si>
    <t>Savings</t>
  </si>
  <si>
    <t>AI reduction cap</t>
  </si>
  <si>
    <t>Guardrail</t>
  </si>
  <si>
    <t>Electricity reduction (default)</t>
  </si>
  <si>
    <t>Baseline | No retrofit</t>
  </si>
  <si>
    <t>All savings are relative to this baseline.</t>
  </si>
  <si>
    <t>From inputs</t>
  </si>
  <si>
    <t>From Inputs</t>
  </si>
  <si>
    <t>10y baseline total cost</t>
  </si>
  <si>
    <t>Mode params | Same project, two modes</t>
  </si>
  <si>
    <t>Differences only: CAPEX / savings / OPEX / platform / spares / electricity payer.</t>
  </si>
  <si>
    <t>初始CAPEX总额</t>
  </si>
  <si>
    <t>Same project</t>
  </si>
  <si>
    <t>综合节电率(示例)</t>
  </si>
  <si>
    <t>Editable in assumptions</t>
  </si>
  <si>
    <t>服务商是否承担电费</t>
  </si>
  <si>
    <t>Optional switch</t>
  </si>
  <si>
    <t>Annual model | Explicit subtraction</t>
  </si>
  <si>
    <t>This sheet feeds Dashboard and Sensitivity.</t>
  </si>
  <si>
    <t>Note: Tier1 is used as a representative for annual cashflow + NPV/IRR; can be expanded to two-mode side-by-side.</t>
  </si>
  <si>
    <t>Trust_NetCF</t>
  </si>
  <si>
    <t>LaaS_NetCF</t>
  </si>
  <si>
    <t>Sensitivity | Fee vs savings &amp; return</t>
  </si>
  <si>
    <t>Test whether annual budget covers higher CAPEX/platform costs.</t>
  </si>
  <si>
    <t>（待补全）将输出：NPV=0所需年费、10年回本所需年费、年费/节电率敏感性表。</t>
  </si>
  <si>
    <t>Model checks | Sanity tests</t>
  </si>
  <si>
    <t>Catch common errors: sign, double count, allocation.</t>
  </si>
  <si>
    <t>Check</t>
  </si>
  <si>
    <t>Description</t>
  </si>
  <si>
    <t>Result</t>
  </si>
  <si>
    <t>Costs are positive</t>
  </si>
  <si>
    <t>Costs should be entered as positive; net CF uses subtraction</t>
  </si>
  <si>
    <t>Y0 net CF = -CAPEX</t>
  </si>
  <si>
    <t>Year0 cashflow should be -CAPEX</t>
  </si>
  <si>
    <t>Calc logic</t>
  </si>
  <si>
    <t>Separate owner vs provider; separate revenue/cost/savings; costs entered positive.</t>
  </si>
  <si>
    <t xml:space="preserve">本工作簿的关键口径：
- 成本均按正数输入
- 净现金流 = 收入 - 成本
- 预付费按期限摊销抵扣年费
- 后4年优惠按条件触发
</t>
  </si>
  <si>
    <t>Glossary</t>
  </si>
  <si>
    <t>Definitions for readers/reviewers.</t>
  </si>
  <si>
    <t>Term</t>
  </si>
  <si>
    <t>Definition</t>
  </si>
  <si>
    <t>Initial one-time investment deducted in Y0</t>
  </si>
  <si>
    <t>Operating net cashflow</t>
  </si>
  <si>
    <t>Annual operating net cashflow excluding Y0 CAPEX</t>
  </si>
  <si>
    <t>Discounted sum of future cashflows</t>
  </si>
  <si>
    <t>Return rate that makes NPV equal to 0</t>
  </si>
  <si>
    <t>Under equal conditions: where does LaaS incremental value come from?</t>
  </si>
  <si>
    <t>Decompose incremental value drivers and cost pressures.</t>
  </si>
  <si>
    <t>Equal-condition snapshot</t>
  </si>
  <si>
    <t>Incremental value decomposition (illustrative)</t>
  </si>
  <si>
    <t>Dimension</t>
  </si>
  <si>
    <t>Trust</t>
  </si>
  <si>
    <t>LaaS</t>
  </si>
  <si>
    <t>服务商年度净经营现金流</t>
  </si>
  <si>
    <t>Revenue - cash cost (ex Y0 CAPEX)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</si>
</sst>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6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111827"/>
      <name val="Calibri"/>
      <family val="2"/>
      <scheme val="minor"/>
    </font>
    <font>
      <u/>
      <sz val="10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164" fontId="4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165" fontId="4" fillId="0" borderId="0" xfId="0" applyNumberFormat="1" applyFont="1"/>
    <xf numFmtId="1" fontId="4" fillId="0" borderId="0" xfId="0" applyNumberFormat="1" applyFont="1"/>
    <xf numFmtId="0" fontId="5" fillId="0" borderId="0" xfId="0" applyFont="1"/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oxmaint.com/industries/government/street-lighting-lamp-out-ai-detection" TargetMode="External"/><Relationship Id="rId2" Type="http://schemas.openxmlformats.org/officeDocument/2006/relationships/hyperlink" Target="https://mdpi-res.com/d_attachment/smartcities/smartcities-03-00071/article_deploy/smartcities-03-00071-v2.pdf?version=1607517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181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4" t="s">
        <v>72</v>
      </c>
      <c r="B5" s="5">
        <f>'03_Baseline'!D12</f>
        <v>1028000.0</v>
      </c>
    </row>
    <row r="6" spans="1:12">
      <c r="A6" s="4" t="s">
        <v>74</v>
      </c>
      <c r="B6" s="5">
        <f>'03_Baseline'!D16</f>
        <v>2342300.0</v>
      </c>
    </row>
    <row r="7" spans="1:12">
      <c r="A7" s="4" t="s">
        <v>130</v>
      </c>
      <c r="B7" s="5">
        <f>'Inputs_Data_Raw'!H5</f>
        <v>3539400.0</v>
      </c>
    </row>
    <row r="10" spans="1:12">
      <c r="A10" s="3" t="s">
        <v>182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6" t="s">
        <v>183</v>
      </c>
      <c r="B11" s="6" t="s">
        <v>184</v>
      </c>
      <c r="C11" s="6" t="s">
        <v>185</v>
      </c>
      <c r="D11" s="6" t="s">
        <v>78</v>
      </c>
    </row>
    <row r="12" spans="1:12">
      <c r="A12" s="4" t="s">
        <v>186</v>
      </c>
      <c r="B12" s="5">
        <f>'Model_Calc'!B6-'Inputs_Data_Raw'!E6</f>
        <v>0.0</v>
      </c>
      <c r="C12" s="5">
        <f>'Model_Calc'!B6-'Model_Calc'!E6</f>
        <v>0.0</v>
      </c>
      <c r="D12" s="4" t="s">
        <v>187</v>
      </c>
    </row>
  </sheetData>
  <mergeCells count="4">
    <mergeCell ref="A1:L1"/>
    <mergeCell ref="A2:L2"/>
    <mergeCell ref="A4:L4"/>
    <mergeCell ref="A10:L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pans="1:1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4" t="s">
        <v>71</v>
      </c>
      <c r="B5" s="5">
        <f>'03_Baseline'!D5</f>
        <v>0.0</v>
      </c>
    </row>
    <row r="6" spans="1:12">
      <c r="A6" s="4" t="s">
        <v>72</v>
      </c>
      <c r="B6" s="5">
        <f>'03_Baseline'!D12</f>
        <v>1028000.0</v>
      </c>
    </row>
    <row r="7" spans="1:12">
      <c r="A7" s="4" t="s">
        <v>73</v>
      </c>
      <c r="B7" s="5">
        <f>'03_Baseline'!D14</f>
        <v>1638000.0</v>
      </c>
    </row>
    <row r="8" spans="1:12">
      <c r="A8" s="4" t="s">
        <v>74</v>
      </c>
      <c r="B8" s="5">
        <f>'03_Baseline'!D16</f>
        <v>2342300.0</v>
      </c>
    </row>
    <row r="11" spans="1:12">
      <c r="A11" s="3" t="s">
        <v>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6" t="s">
        <v>4</v>
      </c>
      <c r="B12" s="6" t="s">
        <v>76</v>
      </c>
      <c r="C12" s="6" t="s">
        <v>77</v>
      </c>
      <c r="D12" s="6" t="s">
        <v>78</v>
      </c>
    </row>
    <row r="13" spans="1:12">
      <c r="A13" s="4" t="s">
        <v>79</v>
      </c>
      <c r="B13" s="5">
        <f>'05_Annual_Model'!M24</f>
        <v>3503600.0</v>
      </c>
      <c r="C13" s="5">
        <f>'05_Annual_Model'!M51</f>
        <v>5608450.0</v>
      </c>
      <c r="D13" s="4" t="s">
        <v>80</v>
      </c>
    </row>
    <row r="14" spans="1:12">
      <c r="A14" s="4" t="s">
        <v>81</v>
      </c>
      <c r="B14" s="5">
        <f>'05_Annual_Model'!C25</f>
        <v>440052.07890977035</v>
      </c>
      <c r="C14" s="5">
        <f>'05_Annual_Model'!C52</f>
        <v>1629339.273044831</v>
      </c>
      <c r="D14" s="4" t="s">
        <v>82</v>
      </c>
    </row>
    <row r="15" spans="1:12">
      <c r="A15" s="4" t="s">
        <v>83</v>
      </c>
      <c r="B15" s="7">
        <f>'05_Annual_Model'!C26</f>
        <v>0.14965290408048904</v>
      </c>
      <c r="C15" s="7">
        <f>'05_Annual_Model'!C53</f>
        <v>0.22429749831267287</v>
      </c>
      <c r="D15" s="4"/>
    </row>
    <row r="18" spans="1:12">
      <c r="A18" s="3" t="s">
        <v>84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6" t="s">
        <v>41</v>
      </c>
      <c r="B19" s="6" t="s">
        <v>64</v>
      </c>
      <c r="C19" s="6" t="s">
        <v>85</v>
      </c>
      <c r="D19" s="6" t="s">
        <v>86</v>
      </c>
    </row>
    <row r="20" spans="1:12">
      <c r="A20" s="4" t="str">
        <f>'Model_Calc'!A5</f>
        <v>Tier1_UniformAI_20</v>
      </c>
      <c r="B20" s="5">
        <f>'Model_Calc'!B5</f>
        <v>2225185.0</v>
      </c>
      <c r="C20" s="5">
        <f>'Model_Calc'!D5</f>
        <v>117115.0</v>
      </c>
      <c r="D20" s="5">
        <f>'Model_Calc'!E5</f>
        <v>1310400.0</v>
      </c>
    </row>
    <row r="21" spans="1:12">
      <c r="A21" s="4" t="str">
        <f>'Model_Calc'!A6</f>
        <v>Tier2_UniformAI_35</v>
      </c>
      <c r="B21" s="5">
        <f>'Model_Calc'!B6</f>
        <v>2272031.0</v>
      </c>
      <c r="C21" s="5">
        <f>'Model_Calc'!D6</f>
        <v>70269.0</v>
      </c>
      <c r="D21" s="5">
        <f>'Model_Calc'!E6</f>
        <v>1064700.0</v>
      </c>
    </row>
    <row r="22" spans="1:12">
      <c r="A22" s="4" t="str">
        <f>'Model_Calc'!A7</f>
        <v>Tier3_ElecOnly_40</v>
      </c>
      <c r="B22" s="5">
        <f>'Model_Calc'!B7</f>
        <v>2248608.0</v>
      </c>
      <c r="C22" s="5">
        <f>'Model_Calc'!D7</f>
        <v>93692.0</v>
      </c>
      <c r="D22" s="5">
        <f>'Model_Calc'!E7</f>
        <v>1226800.0</v>
      </c>
    </row>
    <row r="23" spans="1:12">
      <c r="A23" s="4" t="str">
        <f>'Model_Calc'!A8</f>
        <v>Tier4_ElecOnly_60</v>
      </c>
      <c r="B23" s="5">
        <f>'Model_Calc'!B8</f>
        <v>2295454.0</v>
      </c>
      <c r="C23" s="5">
        <f>'Model_Calc'!D8</f>
        <v>46846.0</v>
      </c>
      <c r="D23" s="5">
        <f>'Model_Calc'!E8</f>
        <v>1021200.0</v>
      </c>
    </row>
    <row r="24" spans="1:12">
      <c r="A24" s="4" t="str">
        <f>'Model_Calc'!A9</f>
        <v>Tier5_AISolar</v>
      </c>
      <c r="B24" s="5">
        <f>'Model_Calc'!B9</f>
        <v>2459415.0</v>
      </c>
      <c r="C24" s="5">
        <f>'Model_Calc'!D9</f>
        <v>-117115.0</v>
      </c>
      <c r="D24" s="5">
        <f>'Model_Calc'!E9</f>
        <v>472750.0</v>
      </c>
    </row>
    <row r="25" spans="1:12">
      <c r="A25" s="4" t="str">
        <f>'Model_Calc'!A10</f>
        <v>Tier6_Upfront_Prepay</v>
      </c>
      <c r="B25" s="5">
        <f>'Model_Calc'!B10</f>
        <v>2242300.0</v>
      </c>
      <c r="C25" s="5">
        <f>'Model_Calc'!D10</f>
        <v>100000.0</v>
      </c>
      <c r="D25" s="5">
        <f>'Model_Calc'!E10</f>
        <v>1228500.0</v>
      </c>
    </row>
    <row r="26" spans="1:12">
      <c r="A26" s="4" t="str">
        <f>'Model_Calc'!A11</f>
        <v>Tier7_TailDiscount</v>
      </c>
      <c r="B26" s="5">
        <f>'Model_Calc'!B11</f>
        <v>2389146.0</v>
      </c>
      <c r="C26" s="5">
        <f>'Model_Calc'!D11</f>
        <v>-46846.0</v>
      </c>
      <c r="D26" s="5">
        <f>'Model_Calc'!E11</f>
        <v>1228500.0</v>
      </c>
    </row>
    <row r="27" spans="1:12">
      <c r="A27" s="4" t="str">
        <f>'Model_Calc'!A12</f>
        <v>Tier8_HigherFee_StrongerSLA</v>
      </c>
      <c r="B27" s="5">
        <f>'Model_Calc'!B12</f>
        <v>2529684.0</v>
      </c>
      <c r="C27" s="5">
        <f>'Model_Calc'!D12</f>
        <v>-187384.0</v>
      </c>
      <c r="D27" s="5">
        <f>'Model_Calc'!E12</f>
        <v>1146600.0</v>
      </c>
    </row>
    <row r="28" spans="1:12">
      <c r="A28" s="4" t="str">
        <f>'Model_Calc'!A13</f>
        <v>Tier9_MidTerm_8y</v>
      </c>
      <c r="B28" s="5">
        <f>'Model_Calc'!B13</f>
        <v>2279800.0</v>
      </c>
      <c r="C28" s="5">
        <f>'Model_Calc'!D13</f>
        <v>62500.0</v>
      </c>
      <c r="D28" s="5">
        <f>'Model_Calc'!E13</f>
        <v>1146600.0</v>
      </c>
    </row>
    <row r="29" spans="1:12">
      <c r="A29" s="4" t="str">
        <f>'Model_Calc'!A14</f>
        <v>Tier10_Conservative</v>
      </c>
      <c r="B29" s="5">
        <f>'Model_Calc'!B14</f>
        <v>2154916.0</v>
      </c>
      <c r="C29" s="5">
        <f>'Model_Calc'!D14</f>
        <v>187384.0</v>
      </c>
      <c r="D29" s="5">
        <f>'Model_Calc'!E14</f>
        <v>1474200.0</v>
      </c>
    </row>
  </sheetData>
  <mergeCells count="5">
    <mergeCell ref="A1:L1"/>
    <mergeCell ref="A2:L2"/>
    <mergeCell ref="A4:L4"/>
    <mergeCell ref="A11:L11"/>
    <mergeCell ref="A18:L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113</v>
      </c>
      <c r="B4" s="6" t="s">
        <v>31</v>
      </c>
      <c r="C4" s="6" t="s">
        <v>32</v>
      </c>
      <c r="D4" s="6" t="s">
        <v>114</v>
      </c>
      <c r="E4" s="6" t="s">
        <v>115</v>
      </c>
      <c r="F4" s="6" t="s">
        <v>78</v>
      </c>
    </row>
    <row r="5" spans="1:12">
      <c r="A5" s="4" t="s">
        <v>116</v>
      </c>
      <c r="B5" s="4" t="s">
        <v>117</v>
      </c>
      <c r="C5" s="5">
        <v>10</v>
      </c>
      <c r="D5" s="4" t="s">
        <v>118</v>
      </c>
      <c r="E5" s="4" t="s">
        <v>119</v>
      </c>
      <c r="F5" s="4"/>
    </row>
    <row r="6" spans="1:12">
      <c r="A6" s="4" t="s">
        <v>116</v>
      </c>
      <c r="B6" s="4" t="s">
        <v>120</v>
      </c>
      <c r="C6" s="7">
        <v>0.12</v>
      </c>
      <c r="D6" s="4" t="s">
        <v>121</v>
      </c>
      <c r="E6" s="4" t="s">
        <v>122</v>
      </c>
      <c r="F6" s="4" t="s">
        <v>123</v>
      </c>
    </row>
    <row r="7" spans="1:12">
      <c r="A7" s="4" t="s">
        <v>116</v>
      </c>
      <c r="B7" s="4" t="s">
        <v>124</v>
      </c>
      <c r="C7" s="5">
        <f>'Inputs_Data_Raw'!B6</f>
        <v>0.0</v>
      </c>
      <c r="D7" s="4" t="s">
        <v>125</v>
      </c>
      <c r="E7" s="4" t="s">
        <v>126</v>
      </c>
      <c r="F7" s="4"/>
    </row>
    <row r="8" spans="1:12">
      <c r="A8" s="4" t="s">
        <v>116</v>
      </c>
      <c r="B8" s="4" t="s">
        <v>72</v>
      </c>
      <c r="C8" s="5">
        <f>'Inputs_Data_Raw'!C6</f>
        <v>0.0</v>
      </c>
      <c r="D8" s="4" t="s">
        <v>125</v>
      </c>
      <c r="E8" s="4" t="s">
        <v>127</v>
      </c>
      <c r="F8" s="4"/>
    </row>
    <row r="9" spans="1:12">
      <c r="A9" s="4" t="s">
        <v>116</v>
      </c>
      <c r="B9" s="4" t="s">
        <v>128</v>
      </c>
      <c r="C9" s="5">
        <f>'Inputs_Data_Raw'!E6</f>
        <v>0.0</v>
      </c>
      <c r="D9" s="4" t="s">
        <v>125</v>
      </c>
      <c r="E9" s="4" t="s">
        <v>127</v>
      </c>
      <c r="F9" s="4"/>
    </row>
    <row r="10" spans="1:12">
      <c r="A10" s="4" t="s">
        <v>129</v>
      </c>
      <c r="B10" s="4" t="s">
        <v>130</v>
      </c>
      <c r="C10" s="5">
        <f>'Inputs_Data_Raw'!H5</f>
        <v>0.0</v>
      </c>
      <c r="D10" s="4" t="s">
        <v>131</v>
      </c>
      <c r="E10" s="4" t="s">
        <v>132</v>
      </c>
      <c r="F10" s="4"/>
    </row>
    <row r="11" spans="1:12">
      <c r="A11" s="4" t="s">
        <v>133</v>
      </c>
      <c r="B11" s="4" t="s">
        <v>134</v>
      </c>
      <c r="C11" s="5">
        <f>'Assumptions'!B9</f>
        <v>0.0</v>
      </c>
      <c r="D11" s="4" t="s">
        <v>121</v>
      </c>
      <c r="E11" s="4" t="s">
        <v>135</v>
      </c>
      <c r="F11" s="4"/>
    </row>
    <row r="12" spans="1:12">
      <c r="A12" s="4" t="s">
        <v>133</v>
      </c>
      <c r="B12" s="4" t="s">
        <v>136</v>
      </c>
      <c r="C12" s="5">
        <f>'Assumptions'!B4</f>
        <v>0.0</v>
      </c>
      <c r="D12" s="4" t="s">
        <v>121</v>
      </c>
      <c r="E12" s="4" t="s">
        <v>0</v>
      </c>
      <c r="F12" s="4"/>
    </row>
  </sheetData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31</v>
      </c>
      <c r="B4" s="6" t="s">
        <v>78</v>
      </c>
      <c r="C4" s="6" t="s">
        <v>139</v>
      </c>
      <c r="D4" s="6" t="s">
        <v>32</v>
      </c>
    </row>
    <row r="5" spans="1:12">
      <c r="A5" s="4" t="s">
        <v>71</v>
      </c>
      <c r="B5" s="4"/>
      <c r="C5" s="4" t="s">
        <v>140</v>
      </c>
      <c r="D5" s="5">
        <v>0</v>
      </c>
    </row>
    <row r="6" spans="1:12">
      <c r="A6" s="4" t="s">
        <v>72</v>
      </c>
      <c r="B6" s="4"/>
      <c r="C6" s="4" t="s">
        <v>140</v>
      </c>
      <c r="D6" s="5">
        <f>'Inputs_Data_Raw'!C6</f>
        <v>0.0</v>
      </c>
    </row>
    <row r="7" spans="1:12">
      <c r="A7" s="4" t="s">
        <v>128</v>
      </c>
      <c r="B7" s="4"/>
      <c r="C7" s="4" t="s">
        <v>140</v>
      </c>
      <c r="D7" s="5">
        <f>'Inputs_Data_Raw'!E6</f>
        <v>0.0</v>
      </c>
    </row>
    <row r="8" spans="1:12">
      <c r="A8" s="4" t="s">
        <v>74</v>
      </c>
      <c r="B8" s="4"/>
      <c r="C8" s="4" t="s">
        <v>140</v>
      </c>
      <c r="D8" s="5">
        <f>'Inputs_Data_Raw'!B6</f>
        <v>0.0</v>
      </c>
    </row>
    <row r="9" spans="1:12">
      <c r="A9" s="4" t="s">
        <v>141</v>
      </c>
      <c r="B9" s="4"/>
      <c r="C9" s="4" t="s">
        <v>140</v>
      </c>
      <c r="D9" s="5">
        <f>SUM('Inputs_Data_Raw'!C6:L6)+SUM('Inputs_Data_Raw'!E6:L6)</f>
        <v>0.0</v>
      </c>
    </row>
    <row r="12" spans="1:12">
      <c r="A12" s="4" t="s">
        <v>72</v>
      </c>
      <c r="D12" s="5">
        <f>'Inputs_Data_Raw'!C6</f>
        <v>1028000.0</v>
      </c>
    </row>
    <row r="14" spans="1:12">
      <c r="A14" s="4" t="s">
        <v>128</v>
      </c>
      <c r="D14" s="5">
        <f>'Inputs_Data_Raw'!E6</f>
        <v>1638000.0</v>
      </c>
    </row>
    <row r="16" spans="1:12">
      <c r="A16" s="4" t="s">
        <v>74</v>
      </c>
      <c r="D16" s="5">
        <f>'Inputs_Data_Raw'!B6</f>
        <v>2342300.0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31</v>
      </c>
      <c r="B4" s="6" t="s">
        <v>76</v>
      </c>
      <c r="C4" s="6" t="s">
        <v>77</v>
      </c>
      <c r="D4" s="6" t="s">
        <v>78</v>
      </c>
    </row>
    <row r="5" spans="1:12">
      <c r="A5" s="4" t="s">
        <v>144</v>
      </c>
      <c r="B5" s="5">
        <f>='Inputs_Data_Raw'!H5</f>
        <v>0.0</v>
      </c>
      <c r="C5" s="5">
        <f>='Inputs_Data_Raw'!H5</f>
        <v>0.0</v>
      </c>
      <c r="D5" s="4" t="s">
        <v>145</v>
      </c>
    </row>
    <row r="6" spans="1:12">
      <c r="A6" s="4" t="s">
        <v>146</v>
      </c>
      <c r="B6" s="5">
        <f>='Assumptions'!B4</f>
        <v>0.0</v>
      </c>
      <c r="C6" s="5">
        <f>='Assumptions'!B4</f>
        <v>0.0</v>
      </c>
      <c r="D6" s="4" t="s">
        <v>147</v>
      </c>
    </row>
    <row r="7" spans="1:12">
      <c r="A7" s="4" t="s">
        <v>148</v>
      </c>
      <c r="B7" s="5">
        <f>FALSE</f>
        <v>0.0</v>
      </c>
      <c r="C7" s="5">
        <f>FALSE</f>
        <v>0.0</v>
      </c>
      <c r="D7" s="4" t="s">
        <v>149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2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4" t="s">
        <v>152</v>
      </c>
    </row>
    <row r="6" spans="1:12">
      <c r="A6" s="6" t="s">
        <v>20</v>
      </c>
      <c r="B6" s="8">
        <v>0</v>
      </c>
      <c r="C6" s="8">
        <v>1</v>
      </c>
      <c r="D6" s="8">
        <v>2</v>
      </c>
      <c r="E6" s="8">
        <v>3</v>
      </c>
      <c r="F6" s="8">
        <v>4</v>
      </c>
      <c r="G6" s="8">
        <v>5</v>
      </c>
      <c r="H6" s="8">
        <v>6</v>
      </c>
      <c r="I6" s="8">
        <v>7</v>
      </c>
      <c r="J6" s="8">
        <v>8</v>
      </c>
      <c r="K6" s="8">
        <v>9</v>
      </c>
      <c r="L6" s="8">
        <v>10</v>
      </c>
    </row>
    <row r="7" spans="1:12">
      <c r="A7" s="6" t="s">
        <v>153</v>
      </c>
      <c r="B7" s="5">
        <f>-'Inputs_Data_Raw'!H5</f>
        <v>-3539400.0</v>
      </c>
      <c r="C7" s="5">
        <f>'Inputs_Data_Raw'!B7-'Inputs_Data_Raw'!E7</f>
        <v>704300.0</v>
      </c>
      <c r="D7" s="5">
        <f>'Inputs_Data_Raw'!B8-'Inputs_Data_Raw'!E8</f>
        <v>704300.0</v>
      </c>
      <c r="E7" s="5">
        <f>'Inputs_Data_Raw'!B9-'Inputs_Data_Raw'!E9</f>
        <v>704300.0</v>
      </c>
      <c r="F7" s="5">
        <f>'Inputs_Data_Raw'!B10-'Inputs_Data_Raw'!E10</f>
        <v>704300.0</v>
      </c>
      <c r="G7" s="5">
        <f>'Inputs_Data_Raw'!B11-'Inputs_Data_Raw'!E11</f>
        <v>704300.0</v>
      </c>
      <c r="H7" s="5">
        <f>'Inputs_Data_Raw'!B12-'Inputs_Data_Raw'!E12</f>
        <v>704300.0</v>
      </c>
      <c r="I7" s="5">
        <f>'Inputs_Data_Raw'!B13-'Inputs_Data_Raw'!E13</f>
        <v>704300.0</v>
      </c>
      <c r="J7" s="5">
        <f>'Inputs_Data_Raw'!B14-'Inputs_Data_Raw'!E14</f>
        <v>704300.0</v>
      </c>
      <c r="K7" s="5">
        <f>'Inputs_Data_Raw'!B15-'Inputs_Data_Raw'!E15</f>
        <v>704300.0</v>
      </c>
      <c r="L7" s="5">
        <f>'Inputs_Data_Raw'!B16-'Inputs_Data_Raw'!E16</f>
        <v>704300.0</v>
      </c>
    </row>
    <row r="8" spans="1:12">
      <c r="A8" s="6" t="s">
        <v>154</v>
      </c>
      <c r="B8" s="5">
        <f>-'Inputs_Data_Raw'!H5</f>
        <v>-3539400.0</v>
      </c>
      <c r="C8" s="5">
        <f>('Inputs_Data_Raw'!B7*0.95)-('Inputs_Data_Raw'!E7*(1-0.20))</f>
        <v>914785.0</v>
      </c>
      <c r="D8" s="5">
        <f>('Inputs_Data_Raw'!B8*0.95)-('Inputs_Data_Raw'!E8*(1-0.20))</f>
        <v>914785.0</v>
      </c>
      <c r="E8" s="5">
        <f>('Inputs_Data_Raw'!B9*0.95)-('Inputs_Data_Raw'!E9*(1-0.20))</f>
        <v>914785.0</v>
      </c>
      <c r="F8" s="5">
        <f>('Inputs_Data_Raw'!B10*0.95)-('Inputs_Data_Raw'!E10*(1-0.20))</f>
        <v>914785.0</v>
      </c>
      <c r="G8" s="5">
        <f>('Inputs_Data_Raw'!B11*0.95)-('Inputs_Data_Raw'!E11*(1-0.20))</f>
        <v>914785.0</v>
      </c>
      <c r="H8" s="5">
        <f>('Inputs_Data_Raw'!B12*0.95)-('Inputs_Data_Raw'!E12*(1-0.20))</f>
        <v>914785.0</v>
      </c>
      <c r="I8" s="5">
        <f>('Inputs_Data_Raw'!B13*0.95)-('Inputs_Data_Raw'!E13*(1-0.20))</f>
        <v>914785.0</v>
      </c>
      <c r="J8" s="5">
        <f>('Inputs_Data_Raw'!B14*0.95)-('Inputs_Data_Raw'!E14*(1-0.20))</f>
        <v>914785.0</v>
      </c>
      <c r="K8" s="5">
        <f>('Inputs_Data_Raw'!B15*0.95)-('Inputs_Data_Raw'!E15*(1-0.20))</f>
        <v>914785.0</v>
      </c>
      <c r="L8" s="5">
        <f>('Inputs_Data_Raw'!B16*0.95)-('Inputs_Data_Raw'!E16*(1-0.20))</f>
        <v>914785.0</v>
      </c>
    </row>
    <row r="24" spans="3:13">
      <c r="M24" s="5">
        <f>SUM(B7:L7)</f>
        <v>3503600.0</v>
      </c>
    </row>
    <row r="25" spans="3:13">
      <c r="C25" s="5">
        <f>NPV(0.12,C7:L7)+B7</f>
        <v>440052.07890977035</v>
      </c>
    </row>
    <row r="26" spans="3:13">
      <c r="C26" s="7">
        <f>IRR(B7:L7)</f>
        <v>0.14965290408048904</v>
      </c>
    </row>
    <row r="51" spans="3:13">
      <c r="M51" s="5">
        <f>SUM(B8:L8)</f>
        <v>5608450.0</v>
      </c>
    </row>
    <row r="52" spans="3:13">
      <c r="C52" s="5">
        <f>NPV(0.12,C8:L8)+B8</f>
        <v>1629339.273044831</v>
      </c>
    </row>
    <row r="53" spans="3:13">
      <c r="C53" s="7">
        <f>IRR(B8:L8)</f>
        <v>0.22429749831267287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4" t="s">
        <v>157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160</v>
      </c>
      <c r="B4" s="6" t="s">
        <v>161</v>
      </c>
      <c r="C4" s="6" t="s">
        <v>162</v>
      </c>
    </row>
    <row r="5" spans="1:12">
      <c r="A5" s="4" t="s">
        <v>163</v>
      </c>
      <c r="B5" s="4" t="s">
        <v>164</v>
      </c>
      <c r="C5" s="4" t="b">
        <f>TRUE()</f>
        <v>1</v>
      </c>
    </row>
    <row r="6" spans="1:12">
      <c r="A6" s="4" t="s">
        <v>165</v>
      </c>
      <c r="B6" s="4" t="s">
        <v>166</v>
      </c>
      <c r="C6" s="4" t="b">
        <f>TRUE()</f>
        <v>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4" t="s">
        <v>169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172</v>
      </c>
      <c r="B4" s="6" t="s">
        <v>173</v>
      </c>
    </row>
    <row r="5" spans="1:12">
      <c r="A5" s="4" t="s">
        <v>129</v>
      </c>
      <c r="B5" s="4" t="s">
        <v>174</v>
      </c>
    </row>
    <row r="6" spans="1:12">
      <c r="A6" s="4" t="s">
        <v>175</v>
      </c>
      <c r="B6" s="4" t="s">
        <v>176</v>
      </c>
    </row>
    <row r="7" spans="1:12">
      <c r="A7" s="4" t="s">
        <v>81</v>
      </c>
      <c r="B7" s="4" t="s">
        <v>177</v>
      </c>
    </row>
    <row r="8" spans="1:12">
      <c r="A8" s="4" t="s">
        <v>83</v>
      </c>
      <c r="B8" s="4" t="s">
        <v>178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spans="1:12">
      <c r="A6" s="4" t="s">
        <v>8</v>
      </c>
      <c r="B6" s="4" t="s">
        <v>9</v>
      </c>
      <c r="C6" s="4" t="s">
        <v>10</v>
      </c>
      <c r="D6" s="4" t="s">
        <v>11</v>
      </c>
      <c r="E6" s="9" t="s">
        <v>12</v>
      </c>
    </row>
    <row r="7" spans="1:12">
      <c r="A7" s="4" t="s">
        <v>13</v>
      </c>
      <c r="B7" s="4" t="s">
        <v>14</v>
      </c>
      <c r="C7" s="4" t="s">
        <v>15</v>
      </c>
      <c r="D7" s="4" t="s">
        <v>16</v>
      </c>
      <c r="E7" s="9" t="s">
        <v>17</v>
      </c>
    </row>
  </sheetData>
  <mergeCells count="3">
    <mergeCell ref="A1:L1"/>
    <mergeCell ref="A2:L2"/>
    <mergeCell ref="A4:L4"/>
  </mergeCells>
  <hyperlinks>
    <hyperlink ref="E6" r:id="rId1"/>
    <hyperlink ref="E7" r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</row>
    <row r="5" spans="1:12">
      <c r="A5" s="8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3539400</v>
      </c>
    </row>
    <row r="6" spans="1:12">
      <c r="A6" s="8">
        <v>1</v>
      </c>
      <c r="B6" s="5">
        <v>2342300</v>
      </c>
      <c r="C6" s="5">
        <v>1028000</v>
      </c>
      <c r="D6" s="5">
        <v>610000</v>
      </c>
      <c r="E6" s="5">
        <v>1638000</v>
      </c>
      <c r="F6" s="5">
        <v>407780</v>
      </c>
      <c r="G6" s="5">
        <v>867700</v>
      </c>
      <c r="H6" s="5">
        <v>0</v>
      </c>
    </row>
    <row r="7" spans="1:12">
      <c r="A7" s="8">
        <v>2</v>
      </c>
      <c r="B7" s="5">
        <v>2342300</v>
      </c>
      <c r="C7" s="5">
        <v>1028000</v>
      </c>
      <c r="D7" s="5">
        <v>610000</v>
      </c>
      <c r="E7" s="5">
        <v>1638000</v>
      </c>
      <c r="F7" s="5">
        <v>407780</v>
      </c>
      <c r="G7" s="5">
        <v>840400</v>
      </c>
      <c r="H7" s="5">
        <v>0</v>
      </c>
    </row>
    <row r="8" spans="1:12">
      <c r="A8" s="8">
        <v>3</v>
      </c>
      <c r="B8" s="5">
        <v>2342300</v>
      </c>
      <c r="C8" s="5">
        <v>1028000</v>
      </c>
      <c r="D8" s="5">
        <v>610000</v>
      </c>
      <c r="E8" s="5">
        <v>1638000</v>
      </c>
      <c r="F8" s="5">
        <v>407780</v>
      </c>
      <c r="G8" s="5">
        <v>813100</v>
      </c>
      <c r="H8" s="5">
        <v>0</v>
      </c>
    </row>
    <row r="9" spans="1:12">
      <c r="A9" s="8">
        <v>4</v>
      </c>
      <c r="B9" s="5">
        <v>2342300</v>
      </c>
      <c r="C9" s="5">
        <v>1028000</v>
      </c>
      <c r="D9" s="5">
        <v>610000</v>
      </c>
      <c r="E9" s="5">
        <v>1638000</v>
      </c>
      <c r="F9" s="5">
        <v>407780</v>
      </c>
      <c r="G9" s="5">
        <v>785800</v>
      </c>
      <c r="H9" s="5">
        <v>0</v>
      </c>
    </row>
    <row r="10" spans="1:12">
      <c r="A10" s="8">
        <v>5</v>
      </c>
      <c r="B10" s="5">
        <v>2342300</v>
      </c>
      <c r="C10" s="5">
        <v>1028000</v>
      </c>
      <c r="D10" s="5">
        <v>610000</v>
      </c>
      <c r="E10" s="5">
        <v>1638000</v>
      </c>
      <c r="F10" s="5">
        <v>407780</v>
      </c>
      <c r="G10" s="5">
        <v>758500</v>
      </c>
      <c r="H10" s="5">
        <v>0</v>
      </c>
    </row>
    <row r="11" spans="1:12">
      <c r="A11" s="8">
        <v>6</v>
      </c>
      <c r="B11" s="5">
        <v>2342300</v>
      </c>
      <c r="C11" s="5">
        <v>1028000</v>
      </c>
      <c r="D11" s="5">
        <v>610000</v>
      </c>
      <c r="E11" s="5">
        <v>1638000</v>
      </c>
      <c r="F11" s="5">
        <v>407780</v>
      </c>
      <c r="G11" s="5">
        <v>731200</v>
      </c>
      <c r="H11" s="5">
        <v>0</v>
      </c>
    </row>
    <row r="12" spans="1:12">
      <c r="A12" s="8">
        <v>7</v>
      </c>
      <c r="B12" s="5">
        <v>2342300</v>
      </c>
      <c r="C12" s="5">
        <v>1028000</v>
      </c>
      <c r="D12" s="5">
        <v>610000</v>
      </c>
      <c r="E12" s="5">
        <v>1638000</v>
      </c>
      <c r="F12" s="5">
        <v>407780</v>
      </c>
      <c r="G12" s="5">
        <v>103900</v>
      </c>
      <c r="H12" s="5">
        <v>0</v>
      </c>
    </row>
    <row r="13" spans="1:12">
      <c r="A13" s="8">
        <v>8</v>
      </c>
      <c r="B13" s="5">
        <v>2342300</v>
      </c>
      <c r="C13" s="5">
        <v>1028000</v>
      </c>
      <c r="D13" s="5">
        <v>610000</v>
      </c>
      <c r="E13" s="5">
        <v>1638000</v>
      </c>
      <c r="F13" s="5">
        <v>407780</v>
      </c>
      <c r="G13" s="5">
        <v>600600</v>
      </c>
      <c r="H13" s="5">
        <v>0</v>
      </c>
    </row>
    <row r="14" spans="1:12">
      <c r="A14" s="8">
        <v>9</v>
      </c>
      <c r="B14" s="5">
        <v>2342300</v>
      </c>
      <c r="C14" s="5">
        <v>1028000</v>
      </c>
      <c r="D14" s="5">
        <v>610000</v>
      </c>
      <c r="E14" s="5">
        <v>1638000</v>
      </c>
      <c r="F14" s="5">
        <v>407780</v>
      </c>
      <c r="G14" s="5">
        <v>0</v>
      </c>
      <c r="H14" s="5">
        <v>0</v>
      </c>
    </row>
    <row r="15" spans="1:12">
      <c r="A15" s="8">
        <v>10</v>
      </c>
      <c r="B15" s="5">
        <v>2342300</v>
      </c>
      <c r="C15" s="5">
        <v>1028000</v>
      </c>
      <c r="D15" s="5">
        <v>610000</v>
      </c>
      <c r="E15" s="5">
        <v>1638000</v>
      </c>
      <c r="F15" s="5">
        <v>407780</v>
      </c>
      <c r="G15" s="5">
        <v>0</v>
      </c>
      <c r="H15" s="5">
        <v>0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6" t="s">
        <v>31</v>
      </c>
      <c r="B5" s="6" t="s">
        <v>32</v>
      </c>
    </row>
    <row r="6" spans="1:12">
      <c r="A6" s="4" t="s">
        <v>33</v>
      </c>
      <c r="B6" s="10">
        <v>0.4</v>
      </c>
    </row>
    <row r="7" spans="1:12">
      <c r="A7" s="4" t="s">
        <v>34</v>
      </c>
      <c r="B7" s="10">
        <v>0.35</v>
      </c>
    </row>
    <row r="8" spans="1:12">
      <c r="A8" s="4" t="s">
        <v>35</v>
      </c>
      <c r="B8" s="10">
        <v>0.3</v>
      </c>
    </row>
    <row r="9" spans="1:12">
      <c r="A9" s="4" t="s">
        <v>36</v>
      </c>
      <c r="B9" s="10">
        <v>0.15</v>
      </c>
    </row>
    <row r="10" spans="1:12">
      <c r="A10" s="4" t="s">
        <v>37</v>
      </c>
      <c r="B10" s="10">
        <v>0.1</v>
      </c>
    </row>
    <row r="11" spans="1:12">
      <c r="A11" s="4" t="s">
        <v>38</v>
      </c>
      <c r="B11" s="10">
        <v>0.85</v>
      </c>
    </row>
  </sheetData>
  <mergeCells count="3">
    <mergeCell ref="A1:L1"/>
    <mergeCell ref="A2:L2"/>
    <mergeCell ref="A4:L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</row>
    <row r="5" spans="1:12">
      <c r="A5" s="4" t="s">
        <v>48</v>
      </c>
      <c r="B5" s="8">
        <v>10</v>
      </c>
      <c r="C5" s="4" t="s">
        <v>49</v>
      </c>
      <c r="D5" s="5">
        <f>='Inputs_Data_Raw'!B6*0.95</f>
        <v>2225185.0</v>
      </c>
      <c r="E5" s="5">
        <v>0</v>
      </c>
      <c r="F5" s="5">
        <v>0</v>
      </c>
      <c r="G5" s="7">
        <v>0.2</v>
      </c>
    </row>
    <row r="6" spans="1:12">
      <c r="A6" s="4" t="s">
        <v>50</v>
      </c>
      <c r="B6" s="8">
        <v>10</v>
      </c>
      <c r="C6" s="4" t="s">
        <v>49</v>
      </c>
      <c r="D6" s="5">
        <f>='Inputs_Data_Raw'!B6*0.97</f>
        <v>2272031.0</v>
      </c>
      <c r="E6" s="5">
        <v>0</v>
      </c>
      <c r="F6" s="5">
        <v>0</v>
      </c>
      <c r="G6" s="7">
        <v>0.35</v>
      </c>
    </row>
    <row r="7" spans="1:12">
      <c r="A7" s="4" t="s">
        <v>51</v>
      </c>
      <c r="B7" s="8">
        <v>10</v>
      </c>
      <c r="C7" s="4" t="s">
        <v>52</v>
      </c>
      <c r="D7" s="5">
        <f>='Inputs_Data_Raw'!B6*0.96</f>
        <v>2248608.0</v>
      </c>
      <c r="E7" s="5">
        <v>0</v>
      </c>
      <c r="F7" s="5">
        <v>0</v>
      </c>
      <c r="G7" s="7">
        <v>0.4</v>
      </c>
    </row>
    <row r="8" spans="1:12">
      <c r="A8" s="4" t="s">
        <v>53</v>
      </c>
      <c r="B8" s="8">
        <v>10</v>
      </c>
      <c r="C8" s="4" t="s">
        <v>52</v>
      </c>
      <c r="D8" s="5">
        <f>='Inputs_Data_Raw'!B6*0.98</f>
        <v>2295454.0</v>
      </c>
      <c r="E8" s="5">
        <v>0</v>
      </c>
      <c r="F8" s="5">
        <v>0</v>
      </c>
      <c r="G8" s="7">
        <v>0.6</v>
      </c>
    </row>
    <row r="9" spans="1:12">
      <c r="A9" s="4" t="s">
        <v>54</v>
      </c>
      <c r="B9" s="8">
        <v>10</v>
      </c>
      <c r="C9" s="4" t="s">
        <v>55</v>
      </c>
      <c r="D9" s="5">
        <f>='Inputs_Data_Raw'!B6*1.05</f>
        <v>2459415.0</v>
      </c>
      <c r="E9" s="5">
        <v>0</v>
      </c>
      <c r="F9" s="5">
        <v>0</v>
      </c>
      <c r="G9" s="7">
        <v>0</v>
      </c>
    </row>
    <row r="10" spans="1:12">
      <c r="A10" s="4" t="s">
        <v>56</v>
      </c>
      <c r="B10" s="8">
        <v>10</v>
      </c>
      <c r="C10" s="4" t="s">
        <v>49</v>
      </c>
      <c r="D10" s="5">
        <f>='Inputs_Data_Raw'!B6*1.00</f>
        <v>2342300.0</v>
      </c>
      <c r="E10" s="5">
        <v>1000000</v>
      </c>
      <c r="F10" s="5">
        <v>0</v>
      </c>
      <c r="G10" s="7">
        <v>0.25</v>
      </c>
    </row>
    <row r="11" spans="1:12">
      <c r="A11" s="4" t="s">
        <v>57</v>
      </c>
      <c r="B11" s="8">
        <v>10</v>
      </c>
      <c r="C11" s="4" t="s">
        <v>49</v>
      </c>
      <c r="D11" s="5">
        <f>='Inputs_Data_Raw'!B6*1.02</f>
        <v>2389146.0</v>
      </c>
      <c r="E11" s="5">
        <v>0</v>
      </c>
      <c r="F11" s="5">
        <v>250000</v>
      </c>
      <c r="G11" s="7">
        <v>0.25</v>
      </c>
    </row>
    <row r="12" spans="1:12">
      <c r="A12" s="4" t="s">
        <v>58</v>
      </c>
      <c r="B12" s="8">
        <v>10</v>
      </c>
      <c r="C12" s="4" t="s">
        <v>49</v>
      </c>
      <c r="D12" s="5">
        <f>='Inputs_Data_Raw'!B6*1.08</f>
        <v>2529684.0</v>
      </c>
      <c r="E12" s="5">
        <v>0</v>
      </c>
      <c r="F12" s="5">
        <v>350000</v>
      </c>
      <c r="G12" s="7">
        <v>0.3</v>
      </c>
    </row>
    <row r="13" spans="1:12">
      <c r="A13" s="4" t="s">
        <v>59</v>
      </c>
      <c r="B13" s="8">
        <v>8</v>
      </c>
      <c r="C13" s="4" t="s">
        <v>49</v>
      </c>
      <c r="D13" s="5">
        <f>='Inputs_Data_Raw'!B6*1.00</f>
        <v>2342300.0</v>
      </c>
      <c r="E13" s="5">
        <v>500000</v>
      </c>
      <c r="F13" s="5">
        <v>0</v>
      </c>
      <c r="G13" s="7">
        <v>0.3</v>
      </c>
    </row>
    <row r="14" spans="1:12">
      <c r="A14" s="4" t="s">
        <v>60</v>
      </c>
      <c r="B14" s="8">
        <v>10</v>
      </c>
      <c r="C14" s="4" t="s">
        <v>49</v>
      </c>
      <c r="D14" s="5">
        <f>='Inputs_Data_Raw'!B6*0.92</f>
        <v>2154916.0</v>
      </c>
      <c r="E14" s="5">
        <v>0</v>
      </c>
      <c r="F14" s="5">
        <v>0</v>
      </c>
      <c r="G14" s="7">
        <v>0.1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63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6" t="s">
        <v>41</v>
      </c>
      <c r="B5" s="6" t="s">
        <v>64</v>
      </c>
      <c r="C5" s="6" t="s">
        <v>65</v>
      </c>
      <c r="D5" s="6" t="s">
        <v>66</v>
      </c>
      <c r="E5" s="6" t="s">
        <v>67</v>
      </c>
    </row>
    <row r="6" spans="1:12">
      <c r="A6" s="4" t="str">
        <f>'Scenarios_10'!A5</f>
        <v>Tier1_UniformAI_20</v>
      </c>
      <c r="B6" s="5">
        <f>MAX(0,'Scenarios_10'!D5-'Scenarios_10'!E5/'Scenarios_10'!B5)</f>
        <v>2225185.0</v>
      </c>
      <c r="C6" s="5">
        <f>'Inputs_Data_Raw'!B6</f>
        <v>2342300.0</v>
      </c>
      <c r="D6" s="5">
        <f>('Inputs_Data_Raw'!B6-B6)</f>
        <v>117115.0</v>
      </c>
      <c r="E6" s="5">
        <f>IF('Scenarios_10'!C5="uniform_pct",'Inputs_Data_Raw'!E6*(1-MIN('Scenarios_10'!G5,'Assumptions'!B9)),IF('Scenarios_10'!C5="electricity_only_pct",'Inputs_Data_Raw'!C6*(1-MIN('Scenarios_10'!G5,'Assumptions'!B9))+'Inputs_Data_Raw'!D6,'Inputs_Data_Raw'!D6*(1-AVERAGE('Assumptions'!B5,'Assumptions'!B6,'Assumptions'!B7,'Assumptions'!B8))))</f>
        <v>1310400.0</v>
      </c>
    </row>
    <row r="7" spans="1:12">
      <c r="A7" s="4" t="str">
        <f>'Scenarios_10'!A6</f>
        <v>Tier2_UniformAI_35</v>
      </c>
      <c r="B7" s="5">
        <f>MAX(0,'Scenarios_10'!D6-'Scenarios_10'!E6/'Scenarios_10'!B6)</f>
        <v>2272031.0</v>
      </c>
      <c r="C7" s="5">
        <f>'Inputs_Data_Raw'!B6</f>
        <v>2342300.0</v>
      </c>
      <c r="D7" s="5">
        <f>('Inputs_Data_Raw'!B6-B7)</f>
        <v>70269.0</v>
      </c>
      <c r="E7" s="5">
        <f>IF('Scenarios_10'!C6="uniform_pct",'Inputs_Data_Raw'!E6*(1-MIN('Scenarios_10'!G6,'Assumptions'!B9)),IF('Scenarios_10'!C6="electricity_only_pct",'Inputs_Data_Raw'!C6*(1-MIN('Scenarios_10'!G6,'Assumptions'!B9))+'Inputs_Data_Raw'!D6,'Inputs_Data_Raw'!D6*(1-AVERAGE('Assumptions'!B5,'Assumptions'!B6,'Assumptions'!B7,'Assumptions'!B8))))</f>
        <v>1064700.0</v>
      </c>
    </row>
    <row r="8" spans="1:12">
      <c r="A8" s="4" t="str">
        <f>'Scenarios_10'!A7</f>
        <v>Tier3_ElecOnly_40</v>
      </c>
      <c r="B8" s="5">
        <f>MAX(0,'Scenarios_10'!D7-'Scenarios_10'!E7/'Scenarios_10'!B7)</f>
        <v>2248608.0</v>
      </c>
      <c r="C8" s="5">
        <f>'Inputs_Data_Raw'!B6</f>
        <v>2342300.0</v>
      </c>
      <c r="D8" s="5">
        <f>('Inputs_Data_Raw'!B6-B8)</f>
        <v>93692.0</v>
      </c>
      <c r="E8" s="5">
        <f>IF('Scenarios_10'!C7="uniform_pct",'Inputs_Data_Raw'!E6*(1-MIN('Scenarios_10'!G7,'Assumptions'!B9)),IF('Scenarios_10'!C7="electricity_only_pct",'Inputs_Data_Raw'!C6*(1-MIN('Scenarios_10'!G7,'Assumptions'!B9))+'Inputs_Data_Raw'!D6,'Inputs_Data_Raw'!D6*(1-AVERAGE('Assumptions'!B5,'Assumptions'!B6,'Assumptions'!B7,'Assumptions'!B8))))</f>
        <v>1226800.0</v>
      </c>
    </row>
    <row r="9" spans="1:12">
      <c r="A9" s="4" t="str">
        <f>'Scenarios_10'!A8</f>
        <v>Tier4_ElecOnly_60</v>
      </c>
      <c r="B9" s="5">
        <f>MAX(0,'Scenarios_10'!D8-'Scenarios_10'!E8/'Scenarios_10'!B8)</f>
        <v>2295454.0</v>
      </c>
      <c r="C9" s="5">
        <f>'Inputs_Data_Raw'!B6</f>
        <v>2342300.0</v>
      </c>
      <c r="D9" s="5">
        <f>('Inputs_Data_Raw'!B6-B9)</f>
        <v>46846.0</v>
      </c>
      <c r="E9" s="5">
        <f>IF('Scenarios_10'!C8="uniform_pct",'Inputs_Data_Raw'!E6*(1-MIN('Scenarios_10'!G8,'Assumptions'!B9)),IF('Scenarios_10'!C8="electricity_only_pct",'Inputs_Data_Raw'!C6*(1-MIN('Scenarios_10'!G8,'Assumptions'!B9))+'Inputs_Data_Raw'!D6,'Inputs_Data_Raw'!D6*(1-AVERAGE('Assumptions'!B5,'Assumptions'!B6,'Assumptions'!B7,'Assumptions'!B8))))</f>
        <v>1021200.0</v>
      </c>
    </row>
    <row r="10" spans="1:12">
      <c r="A10" s="4" t="str">
        <f>'Scenarios_10'!A9</f>
        <v>Tier5_AISolar</v>
      </c>
      <c r="B10" s="5">
        <f>MAX(0,'Scenarios_10'!D9-'Scenarios_10'!E9/'Scenarios_10'!B9)</f>
        <v>2459415.0</v>
      </c>
      <c r="C10" s="5">
        <f>'Inputs_Data_Raw'!B6</f>
        <v>2342300.0</v>
      </c>
      <c r="D10" s="5">
        <f>('Inputs_Data_Raw'!B6-B10)</f>
        <v>-117115.0</v>
      </c>
      <c r="E10" s="5">
        <f>IF('Scenarios_10'!C9="uniform_pct",'Inputs_Data_Raw'!E6*(1-MIN('Scenarios_10'!G9,'Assumptions'!B9)),IF('Scenarios_10'!C9="electricity_only_pct",'Inputs_Data_Raw'!C6*(1-MIN('Scenarios_10'!G9,'Assumptions'!B9))+'Inputs_Data_Raw'!D6,'Inputs_Data_Raw'!D6*(1-AVERAGE('Assumptions'!B5,'Assumptions'!B6,'Assumptions'!B7,'Assumptions'!B8))))</f>
        <v>472750.0</v>
      </c>
    </row>
    <row r="11" spans="1:12">
      <c r="A11" s="4" t="str">
        <f>'Scenarios_10'!A10</f>
        <v>Tier6_Upfront_Prepay</v>
      </c>
      <c r="B11" s="5">
        <f>MAX(0,'Scenarios_10'!D10-'Scenarios_10'!E10/'Scenarios_10'!B10)</f>
        <v>2242300.0</v>
      </c>
      <c r="C11" s="5">
        <f>'Inputs_Data_Raw'!B6</f>
        <v>2342300.0</v>
      </c>
      <c r="D11" s="5">
        <f>('Inputs_Data_Raw'!B6-B11)</f>
        <v>100000.0</v>
      </c>
      <c r="E11" s="5">
        <f>IF('Scenarios_10'!C10="uniform_pct",'Inputs_Data_Raw'!E6*(1-MIN('Scenarios_10'!G10,'Assumptions'!B9)),IF('Scenarios_10'!C10="electricity_only_pct",'Inputs_Data_Raw'!C6*(1-MIN('Scenarios_10'!G10,'Assumptions'!B9))+'Inputs_Data_Raw'!D6,'Inputs_Data_Raw'!D6*(1-AVERAGE('Assumptions'!B5,'Assumptions'!B6,'Assumptions'!B7,'Assumptions'!B8))))</f>
        <v>1228500.0</v>
      </c>
    </row>
    <row r="12" spans="1:12">
      <c r="A12" s="4" t="str">
        <f>'Scenarios_10'!A11</f>
        <v>Tier7_TailDiscount</v>
      </c>
      <c r="B12" s="5">
        <f>MAX(0,'Scenarios_10'!D11-'Scenarios_10'!E11/'Scenarios_10'!B11)</f>
        <v>2389146.0</v>
      </c>
      <c r="C12" s="5">
        <f>'Inputs_Data_Raw'!B6</f>
        <v>2342300.0</v>
      </c>
      <c r="D12" s="5">
        <f>('Inputs_Data_Raw'!B6-B12)</f>
        <v>-46846.0</v>
      </c>
      <c r="E12" s="5">
        <f>IF('Scenarios_10'!C11="uniform_pct",'Inputs_Data_Raw'!E6*(1-MIN('Scenarios_10'!G11,'Assumptions'!B9)),IF('Scenarios_10'!C11="electricity_only_pct",'Inputs_Data_Raw'!C6*(1-MIN('Scenarios_10'!G11,'Assumptions'!B9))+'Inputs_Data_Raw'!D6,'Inputs_Data_Raw'!D6*(1-AVERAGE('Assumptions'!B5,'Assumptions'!B6,'Assumptions'!B7,'Assumptions'!B8))))</f>
        <v>1228500.0</v>
      </c>
    </row>
    <row r="13" spans="1:12">
      <c r="A13" s="4" t="str">
        <f>'Scenarios_10'!A12</f>
        <v>Tier8_HigherFee_StrongerSLA</v>
      </c>
      <c r="B13" s="5">
        <f>MAX(0,'Scenarios_10'!D12-'Scenarios_10'!E12/'Scenarios_10'!B12)</f>
        <v>2529684.0</v>
      </c>
      <c r="C13" s="5">
        <f>'Inputs_Data_Raw'!B6</f>
        <v>2342300.0</v>
      </c>
      <c r="D13" s="5">
        <f>('Inputs_Data_Raw'!B6-B13)</f>
        <v>-187384.0</v>
      </c>
      <c r="E13" s="5">
        <f>IF('Scenarios_10'!C12="uniform_pct",'Inputs_Data_Raw'!E6*(1-MIN('Scenarios_10'!G12,'Assumptions'!B9)),IF('Scenarios_10'!C12="electricity_only_pct",'Inputs_Data_Raw'!C6*(1-MIN('Scenarios_10'!G12,'Assumptions'!B9))+'Inputs_Data_Raw'!D6,'Inputs_Data_Raw'!D6*(1-AVERAGE('Assumptions'!B5,'Assumptions'!B6,'Assumptions'!B7,'Assumptions'!B8))))</f>
        <v>1146600.0</v>
      </c>
    </row>
    <row r="14" spans="1:12">
      <c r="A14" s="4" t="str">
        <f>'Scenarios_10'!A13</f>
        <v>Tier9_MidTerm_8y</v>
      </c>
      <c r="B14" s="5">
        <f>MAX(0,'Scenarios_10'!D13-'Scenarios_10'!E13/'Scenarios_10'!B13)</f>
        <v>2279800.0</v>
      </c>
      <c r="C14" s="5">
        <f>'Inputs_Data_Raw'!B6</f>
        <v>2342300.0</v>
      </c>
      <c r="D14" s="5">
        <f>('Inputs_Data_Raw'!B6-B14)</f>
        <v>62500.0</v>
      </c>
      <c r="E14" s="5">
        <f>IF('Scenarios_10'!C13="uniform_pct",'Inputs_Data_Raw'!E6*(1-MIN('Scenarios_10'!G13,'Assumptions'!B9)),IF('Scenarios_10'!C13="electricity_only_pct",'Inputs_Data_Raw'!C6*(1-MIN('Scenarios_10'!G13,'Assumptions'!B9))+'Inputs_Data_Raw'!D6,'Inputs_Data_Raw'!D6*(1-AVERAGE('Assumptions'!B5,'Assumptions'!B6,'Assumptions'!B7,'Assumptions'!B8))))</f>
        <v>1146600.0</v>
      </c>
    </row>
    <row r="15" spans="1:12">
      <c r="A15" s="4" t="str">
        <f>'Scenarios_10'!A14</f>
        <v>Tier10_Conservative</v>
      </c>
      <c r="B15" s="5">
        <f>MAX(0,'Scenarios_10'!D14-'Scenarios_10'!E14/'Scenarios_10'!B14)</f>
        <v>2154916.0</v>
      </c>
      <c r="C15" s="5">
        <f>'Inputs_Data_Raw'!B6</f>
        <v>2342300.0</v>
      </c>
      <c r="D15" s="5">
        <f>('Inputs_Data_Raw'!B6-B15)</f>
        <v>187384.0</v>
      </c>
      <c r="E15" s="5">
        <f>IF('Scenarios_10'!C14="uniform_pct",'Inputs_Data_Raw'!E6*(1-MIN('Scenarios_10'!G14,'Assumptions'!B9)),IF('Scenarios_10'!C14="electricity_only_pct",'Inputs_Data_Raw'!C6*(1-MIN('Scenarios_10'!G14,'Assumptions'!B9))+'Inputs_Data_Raw'!D6,'Inputs_Data_Raw'!D6*(1-AVERAGE('Assumptions'!B5,'Assumptions'!B6,'Assumptions'!B7,'Assumptions'!B8))))</f>
        <v>1474200.0</v>
      </c>
    </row>
  </sheetData>
  <mergeCells count="3">
    <mergeCell ref="A1:L1"/>
    <mergeCell ref="A2:L2"/>
    <mergeCell ref="A4:L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51"/>
  <sheetViews>
    <sheetView workbookViewId="0"/>
  </sheetViews>
  <sheetFormatPr defaultRowHeight="15"/>
  <sheetData>
    <row r="1" spans="1:12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89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6" t="s">
        <v>90</v>
      </c>
      <c r="B5" s="6" t="s">
        <v>91</v>
      </c>
      <c r="C5" s="6" t="s">
        <v>92</v>
      </c>
      <c r="D5" s="6" t="s">
        <v>93</v>
      </c>
      <c r="E5" s="6" t="s">
        <v>94</v>
      </c>
      <c r="F5" s="6" t="s">
        <v>95</v>
      </c>
      <c r="G5" s="6" t="s">
        <v>96</v>
      </c>
      <c r="H5" s="6" t="s">
        <v>97</v>
      </c>
      <c r="I5" s="6" t="s">
        <v>98</v>
      </c>
      <c r="J5" s="6" t="s">
        <v>99</v>
      </c>
      <c r="K5" s="6" t="s">
        <v>100</v>
      </c>
      <c r="L5" s="6" t="s">
        <v>101</v>
      </c>
    </row>
    <row r="6" spans="1:12">
      <c r="A6" s="8">
        <v>0</v>
      </c>
      <c r="B6" s="5">
        <f>IF(A6=0,-'Inputs_Data_Raw'!H5,0)</f>
        <v>-3539400.0</v>
      </c>
      <c r="C6" s="5">
        <f>IF(A6=0,0,INDEX('Inputs_Data_Raw'!B:B, 5+A6))</f>
        <v>0.0</v>
      </c>
      <c r="D6" s="5">
        <f>IF(A6=0,0,INDEX('Inputs_Data_Raw'!E:E, 5+A6))</f>
        <v>0.0</v>
      </c>
      <c r="E6" s="5">
        <f>B6+C6-D6</f>
        <v>-3539400.0</v>
      </c>
      <c r="F6" s="5">
        <f>E6</f>
        <v>-3539400.0</v>
      </c>
      <c r="G6" s="5">
        <f>IF(A6=0,-'Inputs_Data_Raw'!H5,0)</f>
        <v>-3539400.0</v>
      </c>
      <c r="H6" s="5">
        <f>IF(AND(A6&gt;=1,A6&lt;='Scenarios_10'!B5),MAX(0,(MAX(0,'Scenarios_10'!D5-'Scenarios_10'!E5/'Scenarios_10'!B5))-IF(AND(A6&gt;'Scenarios_10'!B5-4,A6&lt;='Scenarios_10'!B5),'Scenarios_10'!F5,0)),0)</f>
        <v>0.0</v>
      </c>
      <c r="I6" s="5">
        <f>IF(A6=0,'Scenarios_10'!E5,0)</f>
        <v>0.0</v>
      </c>
      <c r="J6" s="5">
        <f>IF(A6=0,0,IF('Scenarios_10'!C5="uniform_pct",INDEX('Inputs_Data_Raw'!E:E,5+A6)*(1-MIN('Scenarios_10'!G5,'Assumptions'!B9)),IF('Scenarios_10'!C5="electricity_only_pct",INDEX('Inputs_Data_Raw'!C:C,5+A6)*(1-MIN('Scenarios_10'!G5,'Assumptions'!B9))+INDEX('Inputs_Data_Raw'!D:D,5+A6),INDEX('Inputs_Data_Raw'!D:D,5+A6)*(1-AVERAGE('Assumptions'!B5,'Assumptions'!B6,'Assumptions'!B7,'Assumptions'!B8)))))</f>
        <v>0.0</v>
      </c>
      <c r="K6" s="5">
        <f>G6+H6+I6-J6</f>
        <v>-3539400.0</v>
      </c>
      <c r="L6" s="5">
        <f>K6</f>
        <v>-3539400.0</v>
      </c>
    </row>
    <row r="7" spans="1:12">
      <c r="A7" s="8">
        <v>1</v>
      </c>
      <c r="B7" s="5">
        <f>IF(A7=0,-'Inputs_Data_Raw'!H5,0)</f>
        <v>0.0</v>
      </c>
      <c r="C7" s="5">
        <f>IF(A7=0,0,INDEX('Inputs_Data_Raw'!B:B, 5+A7))</f>
        <v>2342300.0</v>
      </c>
      <c r="D7" s="5">
        <f>IF(A7=0,0,INDEX('Inputs_Data_Raw'!E:E, 5+A7))</f>
        <v>1638000.0</v>
      </c>
      <c r="E7" s="5">
        <f>B7+C7-D7</f>
        <v>704300.0</v>
      </c>
      <c r="F7" s="5">
        <f>F6+E7</f>
        <v>-2835100.0</v>
      </c>
      <c r="G7" s="5">
        <f>IF(A7=0,-'Inputs_Data_Raw'!H5,0)</f>
        <v>0.0</v>
      </c>
      <c r="H7" s="5">
        <f>IF(AND(A7&gt;=1,A7&lt;='Scenarios_10'!B5),MAX(0,(MAX(0,'Scenarios_10'!D5-'Scenarios_10'!E5/'Scenarios_10'!B5))-IF(AND(A7&gt;'Scenarios_10'!B5-4,A7&lt;='Scenarios_10'!B5),'Scenarios_10'!F5,0)),0)</f>
        <v>2225185.0</v>
      </c>
      <c r="I7" s="5">
        <f>IF(A7=0,'Scenarios_10'!E5,0)</f>
        <v>0.0</v>
      </c>
      <c r="J7" s="5">
        <f>IF(A7=0,0,IF('Scenarios_10'!C5="uniform_pct",INDEX('Inputs_Data_Raw'!E:E,5+A7)*(1-MIN('Scenarios_10'!G5,'Assumptions'!B9)),IF('Scenarios_10'!C5="electricity_only_pct",INDEX('Inputs_Data_Raw'!C:C,5+A7)*(1-MIN('Scenarios_10'!G5,'Assumptions'!B9))+INDEX('Inputs_Data_Raw'!D:D,5+A7),INDEX('Inputs_Data_Raw'!D:D,5+A7)*(1-AVERAGE('Assumptions'!B5,'Assumptions'!B6,'Assumptions'!B7,'Assumptions'!B8)))))</f>
        <v>1310400.0</v>
      </c>
      <c r="K7" s="5">
        <f>G7+H7+I7-J7</f>
        <v>914785.0</v>
      </c>
      <c r="L7" s="5">
        <f>L6+K7</f>
        <v>-2624615.0</v>
      </c>
    </row>
    <row r="8" spans="1:12">
      <c r="A8" s="8">
        <v>2</v>
      </c>
      <c r="B8" s="5">
        <f>IF(A8=0,-'Inputs_Data_Raw'!H5,0)</f>
        <v>0.0</v>
      </c>
      <c r="C8" s="5">
        <f>IF(A8=0,0,INDEX('Inputs_Data_Raw'!B:B, 5+A8))</f>
        <v>2342300.0</v>
      </c>
      <c r="D8" s="5">
        <f>IF(A8=0,0,INDEX('Inputs_Data_Raw'!E:E, 5+A8))</f>
        <v>1638000.0</v>
      </c>
      <c r="E8" s="5">
        <f>B8+C8-D8</f>
        <v>704300.0</v>
      </c>
      <c r="F8" s="5">
        <f>F7+E8</f>
        <v>-2130800.0</v>
      </c>
      <c r="G8" s="5">
        <f>IF(A8=0,-'Inputs_Data_Raw'!H5,0)</f>
        <v>0.0</v>
      </c>
      <c r="H8" s="5">
        <f>IF(AND(A8&gt;=1,A8&lt;='Scenarios_10'!B5),MAX(0,(MAX(0,'Scenarios_10'!D5-'Scenarios_10'!E5/'Scenarios_10'!B5))-IF(AND(A8&gt;'Scenarios_10'!B5-4,A8&lt;='Scenarios_10'!B5),'Scenarios_10'!F5,0)),0)</f>
        <v>2225185.0</v>
      </c>
      <c r="I8" s="5">
        <f>IF(A8=0,'Scenarios_10'!E5,0)</f>
        <v>0.0</v>
      </c>
      <c r="J8" s="5">
        <f>IF(A8=0,0,IF('Scenarios_10'!C5="uniform_pct",INDEX('Inputs_Data_Raw'!E:E,5+A8)*(1-MIN('Scenarios_10'!G5,'Assumptions'!B9)),IF('Scenarios_10'!C5="electricity_only_pct",INDEX('Inputs_Data_Raw'!C:C,5+A8)*(1-MIN('Scenarios_10'!G5,'Assumptions'!B9))+INDEX('Inputs_Data_Raw'!D:D,5+A8),INDEX('Inputs_Data_Raw'!D:D,5+A8)*(1-AVERAGE('Assumptions'!B5,'Assumptions'!B6,'Assumptions'!B7,'Assumptions'!B8)))))</f>
        <v>1310400.0</v>
      </c>
      <c r="K8" s="5">
        <f>G8+H8+I8-J8</f>
        <v>914785.0</v>
      </c>
      <c r="L8" s="5">
        <f>L7+K8</f>
        <v>-1709830.0</v>
      </c>
    </row>
    <row r="9" spans="1:12">
      <c r="A9" s="8">
        <v>3</v>
      </c>
      <c r="B9" s="5">
        <f>IF(A9=0,-'Inputs_Data_Raw'!H5,0)</f>
        <v>0.0</v>
      </c>
      <c r="C9" s="5">
        <f>IF(A9=0,0,INDEX('Inputs_Data_Raw'!B:B, 5+A9))</f>
        <v>2342300.0</v>
      </c>
      <c r="D9" s="5">
        <f>IF(A9=0,0,INDEX('Inputs_Data_Raw'!E:E, 5+A9))</f>
        <v>1638000.0</v>
      </c>
      <c r="E9" s="5">
        <f>B9+C9-D9</f>
        <v>704300.0</v>
      </c>
      <c r="F9" s="5">
        <f>F8+E9</f>
        <v>-1426500.0</v>
      </c>
      <c r="G9" s="5">
        <f>IF(A9=0,-'Inputs_Data_Raw'!H5,0)</f>
        <v>0.0</v>
      </c>
      <c r="H9" s="5">
        <f>IF(AND(A9&gt;=1,A9&lt;='Scenarios_10'!B5),MAX(0,(MAX(0,'Scenarios_10'!D5-'Scenarios_10'!E5/'Scenarios_10'!B5))-IF(AND(A9&gt;'Scenarios_10'!B5-4,A9&lt;='Scenarios_10'!B5),'Scenarios_10'!F5,0)),0)</f>
        <v>2225185.0</v>
      </c>
      <c r="I9" s="5">
        <f>IF(A9=0,'Scenarios_10'!E5,0)</f>
        <v>0.0</v>
      </c>
      <c r="J9" s="5">
        <f>IF(A9=0,0,IF('Scenarios_10'!C5="uniform_pct",INDEX('Inputs_Data_Raw'!E:E,5+A9)*(1-MIN('Scenarios_10'!G5,'Assumptions'!B9)),IF('Scenarios_10'!C5="electricity_only_pct",INDEX('Inputs_Data_Raw'!C:C,5+A9)*(1-MIN('Scenarios_10'!G5,'Assumptions'!B9))+INDEX('Inputs_Data_Raw'!D:D,5+A9),INDEX('Inputs_Data_Raw'!D:D,5+A9)*(1-AVERAGE('Assumptions'!B5,'Assumptions'!B6,'Assumptions'!B7,'Assumptions'!B8)))))</f>
        <v>1310400.0</v>
      </c>
      <c r="K9" s="5">
        <f>G9+H9+I9-J9</f>
        <v>914785.0</v>
      </c>
      <c r="L9" s="5">
        <f>L8+K9</f>
        <v>-795045.0</v>
      </c>
    </row>
    <row r="10" spans="1:12">
      <c r="A10" s="8">
        <v>4</v>
      </c>
      <c r="B10" s="5">
        <f>IF(A10=0,-'Inputs_Data_Raw'!H5,0)</f>
        <v>0.0</v>
      </c>
      <c r="C10" s="5">
        <f>IF(A10=0,0,INDEX('Inputs_Data_Raw'!B:B, 5+A10))</f>
        <v>2342300.0</v>
      </c>
      <c r="D10" s="5">
        <f>IF(A10=0,0,INDEX('Inputs_Data_Raw'!E:E, 5+A10))</f>
        <v>1638000.0</v>
      </c>
      <c r="E10" s="5">
        <f>B10+C10-D10</f>
        <v>704300.0</v>
      </c>
      <c r="F10" s="5">
        <f>F9+E10</f>
        <v>-722200.0</v>
      </c>
      <c r="G10" s="5">
        <f>IF(A10=0,-'Inputs_Data_Raw'!H5,0)</f>
        <v>0.0</v>
      </c>
      <c r="H10" s="5">
        <f>IF(AND(A10&gt;=1,A10&lt;='Scenarios_10'!B5),MAX(0,(MAX(0,'Scenarios_10'!D5-'Scenarios_10'!E5/'Scenarios_10'!B5))-IF(AND(A10&gt;'Scenarios_10'!B5-4,A10&lt;='Scenarios_10'!B5),'Scenarios_10'!F5,0)),0)</f>
        <v>2225185.0</v>
      </c>
      <c r="I10" s="5">
        <f>IF(A10=0,'Scenarios_10'!E5,0)</f>
        <v>0.0</v>
      </c>
      <c r="J10" s="5">
        <f>IF(A10=0,0,IF('Scenarios_10'!C5="uniform_pct",INDEX('Inputs_Data_Raw'!E:E,5+A10)*(1-MIN('Scenarios_10'!G5,'Assumptions'!B9)),IF('Scenarios_10'!C5="electricity_only_pct",INDEX('Inputs_Data_Raw'!C:C,5+A10)*(1-MIN('Scenarios_10'!G5,'Assumptions'!B9))+INDEX('Inputs_Data_Raw'!D:D,5+A10),INDEX('Inputs_Data_Raw'!D:D,5+A10)*(1-AVERAGE('Assumptions'!B5,'Assumptions'!B6,'Assumptions'!B7,'Assumptions'!B8)))))</f>
        <v>1310400.0</v>
      </c>
      <c r="K10" s="5">
        <f>G10+H10+I10-J10</f>
        <v>914785.0</v>
      </c>
      <c r="L10" s="5">
        <f>L9+K10</f>
        <v>119740.0</v>
      </c>
    </row>
    <row r="11" spans="1:12">
      <c r="A11" s="8">
        <v>5</v>
      </c>
      <c r="B11" s="5">
        <f>IF(A11=0,-'Inputs_Data_Raw'!H5,0)</f>
        <v>0.0</v>
      </c>
      <c r="C11" s="5">
        <f>IF(A11=0,0,INDEX('Inputs_Data_Raw'!B:B, 5+A11))</f>
        <v>2342300.0</v>
      </c>
      <c r="D11" s="5">
        <f>IF(A11=0,0,INDEX('Inputs_Data_Raw'!E:E, 5+A11))</f>
        <v>1638000.0</v>
      </c>
      <c r="E11" s="5">
        <f>B11+C11-D11</f>
        <v>704300.0</v>
      </c>
      <c r="F11" s="5">
        <f>F10+E11</f>
        <v>-17900.0</v>
      </c>
      <c r="G11" s="5">
        <f>IF(A11=0,-'Inputs_Data_Raw'!H5,0)</f>
        <v>0.0</v>
      </c>
      <c r="H11" s="5">
        <f>IF(AND(A11&gt;=1,A11&lt;='Scenarios_10'!B5),MAX(0,(MAX(0,'Scenarios_10'!D5-'Scenarios_10'!E5/'Scenarios_10'!B5))-IF(AND(A11&gt;'Scenarios_10'!B5-4,A11&lt;='Scenarios_10'!B5),'Scenarios_10'!F5,0)),0)</f>
        <v>2225185.0</v>
      </c>
      <c r="I11" s="5">
        <f>IF(A11=0,'Scenarios_10'!E5,0)</f>
        <v>0.0</v>
      </c>
      <c r="J11" s="5">
        <f>IF(A11=0,0,IF('Scenarios_10'!C5="uniform_pct",INDEX('Inputs_Data_Raw'!E:E,5+A11)*(1-MIN('Scenarios_10'!G5,'Assumptions'!B9)),IF('Scenarios_10'!C5="electricity_only_pct",INDEX('Inputs_Data_Raw'!C:C,5+A11)*(1-MIN('Scenarios_10'!G5,'Assumptions'!B9))+INDEX('Inputs_Data_Raw'!D:D,5+A11),INDEX('Inputs_Data_Raw'!D:D,5+A11)*(1-AVERAGE('Assumptions'!B5,'Assumptions'!B6,'Assumptions'!B7,'Assumptions'!B8)))))</f>
        <v>1310400.0</v>
      </c>
      <c r="K11" s="5">
        <f>G11+H11+I11-J11</f>
        <v>914785.0</v>
      </c>
      <c r="L11" s="5">
        <f>L10+K11</f>
        <v>1034525.0</v>
      </c>
    </row>
    <row r="12" spans="1:12">
      <c r="A12" s="8">
        <v>6</v>
      </c>
      <c r="B12" s="5">
        <f>IF(A12=0,-'Inputs_Data_Raw'!H5,0)</f>
        <v>0.0</v>
      </c>
      <c r="C12" s="5">
        <f>IF(A12=0,0,INDEX('Inputs_Data_Raw'!B:B, 5+A12))</f>
        <v>2342300.0</v>
      </c>
      <c r="D12" s="5">
        <f>IF(A12=0,0,INDEX('Inputs_Data_Raw'!E:E, 5+A12))</f>
        <v>1638000.0</v>
      </c>
      <c r="E12" s="5">
        <f>B12+C12-D12</f>
        <v>704300.0</v>
      </c>
      <c r="F12" s="5">
        <f>F11+E12</f>
        <v>686400.0</v>
      </c>
      <c r="G12" s="5">
        <f>IF(A12=0,-'Inputs_Data_Raw'!H5,0)</f>
        <v>0.0</v>
      </c>
      <c r="H12" s="5">
        <f>IF(AND(A12&gt;=1,A12&lt;='Scenarios_10'!B5),MAX(0,(MAX(0,'Scenarios_10'!D5-'Scenarios_10'!E5/'Scenarios_10'!B5))-IF(AND(A12&gt;'Scenarios_10'!B5-4,A12&lt;='Scenarios_10'!B5),'Scenarios_10'!F5,0)),0)</f>
        <v>2225185.0</v>
      </c>
      <c r="I12" s="5">
        <f>IF(A12=0,'Scenarios_10'!E5,0)</f>
        <v>0.0</v>
      </c>
      <c r="J12" s="5">
        <f>IF(A12=0,0,IF('Scenarios_10'!C5="uniform_pct",INDEX('Inputs_Data_Raw'!E:E,5+A12)*(1-MIN('Scenarios_10'!G5,'Assumptions'!B9)),IF('Scenarios_10'!C5="electricity_only_pct",INDEX('Inputs_Data_Raw'!C:C,5+A12)*(1-MIN('Scenarios_10'!G5,'Assumptions'!B9))+INDEX('Inputs_Data_Raw'!D:D,5+A12),INDEX('Inputs_Data_Raw'!D:D,5+A12)*(1-AVERAGE('Assumptions'!B5,'Assumptions'!B6,'Assumptions'!B7,'Assumptions'!B8)))))</f>
        <v>1310400.0</v>
      </c>
      <c r="K12" s="5">
        <f>G12+H12+I12-J12</f>
        <v>914785.0</v>
      </c>
      <c r="L12" s="5">
        <f>L11+K12</f>
        <v>1949310.0</v>
      </c>
    </row>
    <row r="13" spans="1:12">
      <c r="A13" s="8">
        <v>7</v>
      </c>
      <c r="B13" s="5">
        <f>IF(A13=0,-'Inputs_Data_Raw'!H5,0)</f>
        <v>0.0</v>
      </c>
      <c r="C13" s="5">
        <f>IF(A13=0,0,INDEX('Inputs_Data_Raw'!B:B, 5+A13))</f>
        <v>2342300.0</v>
      </c>
      <c r="D13" s="5">
        <f>IF(A13=0,0,INDEX('Inputs_Data_Raw'!E:E, 5+A13))</f>
        <v>1638000.0</v>
      </c>
      <c r="E13" s="5">
        <f>B13+C13-D13</f>
        <v>704300.0</v>
      </c>
      <c r="F13" s="5">
        <f>F12+E13</f>
        <v>1390700.0</v>
      </c>
      <c r="G13" s="5">
        <f>IF(A13=0,-'Inputs_Data_Raw'!H5,0)</f>
        <v>0.0</v>
      </c>
      <c r="H13" s="5">
        <f>IF(AND(A13&gt;=1,A13&lt;='Scenarios_10'!B5),MAX(0,(MAX(0,'Scenarios_10'!D5-'Scenarios_10'!E5/'Scenarios_10'!B5))-IF(AND(A13&gt;'Scenarios_10'!B5-4,A13&lt;='Scenarios_10'!B5),'Scenarios_10'!F5,0)),0)</f>
        <v>2225185.0</v>
      </c>
      <c r="I13" s="5">
        <f>IF(A13=0,'Scenarios_10'!E5,0)</f>
        <v>0.0</v>
      </c>
      <c r="J13" s="5">
        <f>IF(A13=0,0,IF('Scenarios_10'!C5="uniform_pct",INDEX('Inputs_Data_Raw'!E:E,5+A13)*(1-MIN('Scenarios_10'!G5,'Assumptions'!B9)),IF('Scenarios_10'!C5="electricity_only_pct",INDEX('Inputs_Data_Raw'!C:C,5+A13)*(1-MIN('Scenarios_10'!G5,'Assumptions'!B9))+INDEX('Inputs_Data_Raw'!D:D,5+A13),INDEX('Inputs_Data_Raw'!D:D,5+A13)*(1-AVERAGE('Assumptions'!B5,'Assumptions'!B6,'Assumptions'!B7,'Assumptions'!B8)))))</f>
        <v>1310400.0</v>
      </c>
      <c r="K13" s="5">
        <f>G13+H13+I13-J13</f>
        <v>914785.0</v>
      </c>
      <c r="L13" s="5">
        <f>L12+K13</f>
        <v>2864095.0</v>
      </c>
    </row>
    <row r="14" spans="1:12">
      <c r="A14" s="8">
        <v>8</v>
      </c>
      <c r="B14" s="5">
        <f>IF(A14=0,-'Inputs_Data_Raw'!H5,0)</f>
        <v>0.0</v>
      </c>
      <c r="C14" s="5">
        <f>IF(A14=0,0,INDEX('Inputs_Data_Raw'!B:B, 5+A14))</f>
        <v>2342300.0</v>
      </c>
      <c r="D14" s="5">
        <f>IF(A14=0,0,INDEX('Inputs_Data_Raw'!E:E, 5+A14))</f>
        <v>1638000.0</v>
      </c>
      <c r="E14" s="5">
        <f>B14+C14-D14</f>
        <v>704300.0</v>
      </c>
      <c r="F14" s="5">
        <f>F13+E14</f>
        <v>2095000.0</v>
      </c>
      <c r="G14" s="5">
        <f>IF(A14=0,-'Inputs_Data_Raw'!H5,0)</f>
        <v>0.0</v>
      </c>
      <c r="H14" s="5">
        <f>IF(AND(A14&gt;=1,A14&lt;='Scenarios_10'!B5),MAX(0,(MAX(0,'Scenarios_10'!D5-'Scenarios_10'!E5/'Scenarios_10'!B5))-IF(AND(A14&gt;'Scenarios_10'!B5-4,A14&lt;='Scenarios_10'!B5),'Scenarios_10'!F5,0)),0)</f>
        <v>2225185.0</v>
      </c>
      <c r="I14" s="5">
        <f>IF(A14=0,'Scenarios_10'!E5,0)</f>
        <v>0.0</v>
      </c>
      <c r="J14" s="5">
        <f>IF(A14=0,0,IF('Scenarios_10'!C5="uniform_pct",INDEX('Inputs_Data_Raw'!E:E,5+A14)*(1-MIN('Scenarios_10'!G5,'Assumptions'!B9)),IF('Scenarios_10'!C5="electricity_only_pct",INDEX('Inputs_Data_Raw'!C:C,5+A14)*(1-MIN('Scenarios_10'!G5,'Assumptions'!B9))+INDEX('Inputs_Data_Raw'!D:D,5+A14),INDEX('Inputs_Data_Raw'!D:D,5+A14)*(1-AVERAGE('Assumptions'!B5,'Assumptions'!B6,'Assumptions'!B7,'Assumptions'!B8)))))</f>
        <v>1310400.0</v>
      </c>
      <c r="K14" s="5">
        <f>G14+H14+I14-J14</f>
        <v>914785.0</v>
      </c>
      <c r="L14" s="5">
        <f>L13+K14</f>
        <v>3778880.0</v>
      </c>
    </row>
    <row r="15" spans="1:12">
      <c r="A15" s="8">
        <v>9</v>
      </c>
      <c r="B15" s="5">
        <f>IF(A15=0,-'Inputs_Data_Raw'!H5,0)</f>
        <v>0.0</v>
      </c>
      <c r="C15" s="5">
        <f>IF(A15=0,0,INDEX('Inputs_Data_Raw'!B:B, 5+A15))</f>
        <v>2342300.0</v>
      </c>
      <c r="D15" s="5">
        <f>IF(A15=0,0,INDEX('Inputs_Data_Raw'!E:E, 5+A15))</f>
        <v>1638000.0</v>
      </c>
      <c r="E15" s="5">
        <f>B15+C15-D15</f>
        <v>704300.0</v>
      </c>
      <c r="F15" s="5">
        <f>F14+E15</f>
        <v>2799300.0</v>
      </c>
      <c r="G15" s="5">
        <f>IF(A15=0,-'Inputs_Data_Raw'!H5,0)</f>
        <v>0.0</v>
      </c>
      <c r="H15" s="5">
        <f>IF(AND(A15&gt;=1,A15&lt;='Scenarios_10'!B5),MAX(0,(MAX(0,'Scenarios_10'!D5-'Scenarios_10'!E5/'Scenarios_10'!B5))-IF(AND(A15&gt;'Scenarios_10'!B5-4,A15&lt;='Scenarios_10'!B5),'Scenarios_10'!F5,0)),0)</f>
        <v>2225185.0</v>
      </c>
      <c r="I15" s="5">
        <f>IF(A15=0,'Scenarios_10'!E5,0)</f>
        <v>0.0</v>
      </c>
      <c r="J15" s="5">
        <f>IF(A15=0,0,IF('Scenarios_10'!C5="uniform_pct",INDEX('Inputs_Data_Raw'!E:E,5+A15)*(1-MIN('Scenarios_10'!G5,'Assumptions'!B9)),IF('Scenarios_10'!C5="electricity_only_pct",INDEX('Inputs_Data_Raw'!C:C,5+A15)*(1-MIN('Scenarios_10'!G5,'Assumptions'!B9))+INDEX('Inputs_Data_Raw'!D:D,5+A15),INDEX('Inputs_Data_Raw'!D:D,5+A15)*(1-AVERAGE('Assumptions'!B5,'Assumptions'!B6,'Assumptions'!B7,'Assumptions'!B8)))))</f>
        <v>1310400.0</v>
      </c>
      <c r="K15" s="5">
        <f>G15+H15+I15-J15</f>
        <v>914785.0</v>
      </c>
      <c r="L15" s="5">
        <f>L14+K15</f>
        <v>4693665.0</v>
      </c>
    </row>
    <row r="16" spans="1:12">
      <c r="A16" s="8">
        <v>10</v>
      </c>
      <c r="B16" s="5">
        <f>IF(A16=0,-'Inputs_Data_Raw'!H5,0)</f>
        <v>0.0</v>
      </c>
      <c r="C16" s="5">
        <f>IF(A16=0,0,INDEX('Inputs_Data_Raw'!B:B, 5+A16))</f>
        <v>2342300.0</v>
      </c>
      <c r="D16" s="5">
        <f>IF(A16=0,0,INDEX('Inputs_Data_Raw'!E:E, 5+A16))</f>
        <v>1638000.0</v>
      </c>
      <c r="E16" s="5">
        <f>B16+C16-D16</f>
        <v>704300.0</v>
      </c>
      <c r="F16" s="5">
        <f>F15+E16</f>
        <v>3503600.0</v>
      </c>
      <c r="G16" s="5">
        <f>IF(A16=0,-'Inputs_Data_Raw'!H5,0)</f>
        <v>0.0</v>
      </c>
      <c r="H16" s="5">
        <f>IF(AND(A16&gt;=1,A16&lt;='Scenarios_10'!B5),MAX(0,(MAX(0,'Scenarios_10'!D5-'Scenarios_10'!E5/'Scenarios_10'!B5))-IF(AND(A16&gt;'Scenarios_10'!B5-4,A16&lt;='Scenarios_10'!B5),'Scenarios_10'!F5,0)),0)</f>
        <v>2225185.0</v>
      </c>
      <c r="I16" s="5">
        <f>IF(A16=0,'Scenarios_10'!E5,0)</f>
        <v>0.0</v>
      </c>
      <c r="J16" s="5">
        <f>IF(A16=0,0,IF('Scenarios_10'!C5="uniform_pct",INDEX('Inputs_Data_Raw'!E:E,5+A16)*(1-MIN('Scenarios_10'!G5,'Assumptions'!B9)),IF('Scenarios_10'!C5="electricity_only_pct",INDEX('Inputs_Data_Raw'!C:C,5+A16)*(1-MIN('Scenarios_10'!G5,'Assumptions'!B9))+INDEX('Inputs_Data_Raw'!D:D,5+A16),INDEX('Inputs_Data_Raw'!D:D,5+A16)*(1-AVERAGE('Assumptions'!B5,'Assumptions'!B6,'Assumptions'!B7,'Assumptions'!B8)))))</f>
        <v>1310400.0</v>
      </c>
      <c r="K16" s="5">
        <f>G16+H16+I16-J16</f>
        <v>914785.0</v>
      </c>
      <c r="L16" s="5">
        <f>L15+K16</f>
        <v>5608450.0</v>
      </c>
    </row>
    <row r="19" spans="1:12">
      <c r="A19" s="3" t="s">
        <v>102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6" t="s">
        <v>90</v>
      </c>
      <c r="B20" s="6" t="s">
        <v>91</v>
      </c>
      <c r="C20" s="6" t="s">
        <v>92</v>
      </c>
      <c r="D20" s="6" t="s">
        <v>93</v>
      </c>
      <c r="E20" s="6" t="s">
        <v>94</v>
      </c>
      <c r="F20" s="6" t="s">
        <v>95</v>
      </c>
      <c r="G20" s="6" t="s">
        <v>96</v>
      </c>
      <c r="H20" s="6" t="s">
        <v>97</v>
      </c>
      <c r="I20" s="6" t="s">
        <v>98</v>
      </c>
      <c r="J20" s="6" t="s">
        <v>99</v>
      </c>
      <c r="K20" s="6" t="s">
        <v>100</v>
      </c>
      <c r="L20" s="6" t="s">
        <v>101</v>
      </c>
    </row>
    <row r="21" spans="1:12">
      <c r="A21" s="8">
        <v>0</v>
      </c>
      <c r="B21" s="5">
        <f>IF(A21=0,-'Inputs_Data_Raw'!H5,0)</f>
        <v>-3539400.0</v>
      </c>
      <c r="C21" s="5">
        <f>IF(A21=0,0,INDEX('Inputs_Data_Raw'!B:B, 5+A21))</f>
        <v>0.0</v>
      </c>
      <c r="D21" s="5">
        <f>IF(A21=0,0,INDEX('Inputs_Data_Raw'!E:E, 5+A21))</f>
        <v>0.0</v>
      </c>
      <c r="E21" s="5">
        <f>B21+C21-D21</f>
        <v>-3539400.0</v>
      </c>
      <c r="F21" s="5">
        <f>E21</f>
        <v>-3539400.0</v>
      </c>
      <c r="G21" s="5">
        <f>IF(A21=0,-'Inputs_Data_Raw'!H5,0)</f>
        <v>-3539400.0</v>
      </c>
      <c r="H21" s="5">
        <f>IF(AND(A21&gt;=1,A21&lt;='Scenarios_10'!B6),MAX(0,(MAX(0,'Scenarios_10'!D6-'Scenarios_10'!E6/'Scenarios_10'!B6))-IF(AND(A21&gt;'Scenarios_10'!B6-4,A21&lt;='Scenarios_10'!B6),'Scenarios_10'!F6,0)),0)</f>
        <v>0.0</v>
      </c>
      <c r="I21" s="5">
        <f>IF(A21=0,'Scenarios_10'!E6,0)</f>
        <v>0.0</v>
      </c>
      <c r="J21" s="5">
        <f>IF(A21=0,0,IF('Scenarios_10'!C6="uniform_pct",INDEX('Inputs_Data_Raw'!E:E,5+A21)*(1-MIN('Scenarios_10'!G6,'Assumptions'!B9)),IF('Scenarios_10'!C6="electricity_only_pct",INDEX('Inputs_Data_Raw'!C:C,5+A21)*(1-MIN('Scenarios_10'!G6,'Assumptions'!B9))+INDEX('Inputs_Data_Raw'!D:D,5+A21),INDEX('Inputs_Data_Raw'!D:D,5+A21)*(1-AVERAGE('Assumptions'!B5,'Assumptions'!B6,'Assumptions'!B7,'Assumptions'!B8)))))</f>
        <v>0.0</v>
      </c>
      <c r="K21" s="5">
        <f>G21+H21+I21-J21</f>
        <v>-3539400.0</v>
      </c>
      <c r="L21" s="5">
        <f>K21</f>
        <v>-3539400.0</v>
      </c>
    </row>
    <row r="22" spans="1:12">
      <c r="A22" s="8">
        <v>1</v>
      </c>
      <c r="B22" s="5">
        <f>IF(A22=0,-'Inputs_Data_Raw'!H5,0)</f>
        <v>0.0</v>
      </c>
      <c r="C22" s="5">
        <f>IF(A22=0,0,INDEX('Inputs_Data_Raw'!B:B, 5+A22))</f>
        <v>2342300.0</v>
      </c>
      <c r="D22" s="5">
        <f>IF(A22=0,0,INDEX('Inputs_Data_Raw'!E:E, 5+A22))</f>
        <v>1638000.0</v>
      </c>
      <c r="E22" s="5">
        <f>B22+C22-D22</f>
        <v>704300.0</v>
      </c>
      <c r="F22" s="5">
        <f>F21+E22</f>
        <v>-2835100.0</v>
      </c>
      <c r="G22" s="5">
        <f>IF(A22=0,-'Inputs_Data_Raw'!H5,0)</f>
        <v>0.0</v>
      </c>
      <c r="H22" s="5">
        <f>IF(AND(A22&gt;=1,A22&lt;='Scenarios_10'!B6),MAX(0,(MAX(0,'Scenarios_10'!D6-'Scenarios_10'!E6/'Scenarios_10'!B6))-IF(AND(A22&gt;'Scenarios_10'!B6-4,A22&lt;='Scenarios_10'!B6),'Scenarios_10'!F6,0)),0)</f>
        <v>2272031.0</v>
      </c>
      <c r="I22" s="5">
        <f>IF(A22=0,'Scenarios_10'!E6,0)</f>
        <v>0.0</v>
      </c>
      <c r="J22" s="5">
        <f>IF(A22=0,0,IF('Scenarios_10'!C6="uniform_pct",INDEX('Inputs_Data_Raw'!E:E,5+A22)*(1-MIN('Scenarios_10'!G6,'Assumptions'!B9)),IF('Scenarios_10'!C6="electricity_only_pct",INDEX('Inputs_Data_Raw'!C:C,5+A22)*(1-MIN('Scenarios_10'!G6,'Assumptions'!B9))+INDEX('Inputs_Data_Raw'!D:D,5+A22),INDEX('Inputs_Data_Raw'!D:D,5+A22)*(1-AVERAGE('Assumptions'!B5,'Assumptions'!B6,'Assumptions'!B7,'Assumptions'!B8)))))</f>
        <v>1064700.0</v>
      </c>
      <c r="K22" s="5">
        <f>G22+H22+I22-J22</f>
        <v>1207331.0</v>
      </c>
      <c r="L22" s="5">
        <f>L21+K22</f>
        <v>-2332069.0</v>
      </c>
    </row>
    <row r="23" spans="1:12">
      <c r="A23" s="8">
        <v>2</v>
      </c>
      <c r="B23" s="5">
        <f>IF(A23=0,-'Inputs_Data_Raw'!H5,0)</f>
        <v>0.0</v>
      </c>
      <c r="C23" s="5">
        <f>IF(A23=0,0,INDEX('Inputs_Data_Raw'!B:B, 5+A23))</f>
        <v>2342300.0</v>
      </c>
      <c r="D23" s="5">
        <f>IF(A23=0,0,INDEX('Inputs_Data_Raw'!E:E, 5+A23))</f>
        <v>1638000.0</v>
      </c>
      <c r="E23" s="5">
        <f>B23+C23-D23</f>
        <v>704300.0</v>
      </c>
      <c r="F23" s="5">
        <f>F22+E23</f>
        <v>-2130800.0</v>
      </c>
      <c r="G23" s="5">
        <f>IF(A23=0,-'Inputs_Data_Raw'!H5,0)</f>
        <v>0.0</v>
      </c>
      <c r="H23" s="5">
        <f>IF(AND(A23&gt;=1,A23&lt;='Scenarios_10'!B6),MAX(0,(MAX(0,'Scenarios_10'!D6-'Scenarios_10'!E6/'Scenarios_10'!B6))-IF(AND(A23&gt;'Scenarios_10'!B6-4,A23&lt;='Scenarios_10'!B6),'Scenarios_10'!F6,0)),0)</f>
        <v>2272031.0</v>
      </c>
      <c r="I23" s="5">
        <f>IF(A23=0,'Scenarios_10'!E6,0)</f>
        <v>0.0</v>
      </c>
      <c r="J23" s="5">
        <f>IF(A23=0,0,IF('Scenarios_10'!C6="uniform_pct",INDEX('Inputs_Data_Raw'!E:E,5+A23)*(1-MIN('Scenarios_10'!G6,'Assumptions'!B9)),IF('Scenarios_10'!C6="electricity_only_pct",INDEX('Inputs_Data_Raw'!C:C,5+A23)*(1-MIN('Scenarios_10'!G6,'Assumptions'!B9))+INDEX('Inputs_Data_Raw'!D:D,5+A23),INDEX('Inputs_Data_Raw'!D:D,5+A23)*(1-AVERAGE('Assumptions'!B5,'Assumptions'!B6,'Assumptions'!B7,'Assumptions'!B8)))))</f>
        <v>1064700.0</v>
      </c>
      <c r="K23" s="5">
        <f>G23+H23+I23-J23</f>
        <v>1207331.0</v>
      </c>
      <c r="L23" s="5">
        <f>L22+K23</f>
        <v>-1124738.0</v>
      </c>
    </row>
    <row r="24" spans="1:12">
      <c r="A24" s="8">
        <v>3</v>
      </c>
      <c r="B24" s="5">
        <f>IF(A24=0,-'Inputs_Data_Raw'!H5,0)</f>
        <v>0.0</v>
      </c>
      <c r="C24" s="5">
        <f>IF(A24=0,0,INDEX('Inputs_Data_Raw'!B:B, 5+A24))</f>
        <v>2342300.0</v>
      </c>
      <c r="D24" s="5">
        <f>IF(A24=0,0,INDEX('Inputs_Data_Raw'!E:E, 5+A24))</f>
        <v>1638000.0</v>
      </c>
      <c r="E24" s="5">
        <f>B24+C24-D24</f>
        <v>704300.0</v>
      </c>
      <c r="F24" s="5">
        <f>F23+E24</f>
        <v>-1426500.0</v>
      </c>
      <c r="G24" s="5">
        <f>IF(A24=0,-'Inputs_Data_Raw'!H5,0)</f>
        <v>0.0</v>
      </c>
      <c r="H24" s="5">
        <f>IF(AND(A24&gt;=1,A24&lt;='Scenarios_10'!B6),MAX(0,(MAX(0,'Scenarios_10'!D6-'Scenarios_10'!E6/'Scenarios_10'!B6))-IF(AND(A24&gt;'Scenarios_10'!B6-4,A24&lt;='Scenarios_10'!B6),'Scenarios_10'!F6,0)),0)</f>
        <v>2272031.0</v>
      </c>
      <c r="I24" s="5">
        <f>IF(A24=0,'Scenarios_10'!E6,0)</f>
        <v>0.0</v>
      </c>
      <c r="J24" s="5">
        <f>IF(A24=0,0,IF('Scenarios_10'!C6="uniform_pct",INDEX('Inputs_Data_Raw'!E:E,5+A24)*(1-MIN('Scenarios_10'!G6,'Assumptions'!B9)),IF('Scenarios_10'!C6="electricity_only_pct",INDEX('Inputs_Data_Raw'!C:C,5+A24)*(1-MIN('Scenarios_10'!G6,'Assumptions'!B9))+INDEX('Inputs_Data_Raw'!D:D,5+A24),INDEX('Inputs_Data_Raw'!D:D,5+A24)*(1-AVERAGE('Assumptions'!B5,'Assumptions'!B6,'Assumptions'!B7,'Assumptions'!B8)))))</f>
        <v>1064700.0</v>
      </c>
      <c r="K24" s="5">
        <f>G24+H24+I24-J24</f>
        <v>1207331.0</v>
      </c>
      <c r="L24" s="5">
        <f>L23+K24</f>
        <v>82593.0</v>
      </c>
    </row>
    <row r="25" spans="1:12">
      <c r="A25" s="8">
        <v>4</v>
      </c>
      <c r="B25" s="5">
        <f>IF(A25=0,-'Inputs_Data_Raw'!H5,0)</f>
        <v>0.0</v>
      </c>
      <c r="C25" s="5">
        <f>IF(A25=0,0,INDEX('Inputs_Data_Raw'!B:B, 5+A25))</f>
        <v>2342300.0</v>
      </c>
      <c r="D25" s="5">
        <f>IF(A25=0,0,INDEX('Inputs_Data_Raw'!E:E, 5+A25))</f>
        <v>1638000.0</v>
      </c>
      <c r="E25" s="5">
        <f>B25+C25-D25</f>
        <v>704300.0</v>
      </c>
      <c r="F25" s="5">
        <f>F24+E25</f>
        <v>-722200.0</v>
      </c>
      <c r="G25" s="5">
        <f>IF(A25=0,-'Inputs_Data_Raw'!H5,0)</f>
        <v>0.0</v>
      </c>
      <c r="H25" s="5">
        <f>IF(AND(A25&gt;=1,A25&lt;='Scenarios_10'!B6),MAX(0,(MAX(0,'Scenarios_10'!D6-'Scenarios_10'!E6/'Scenarios_10'!B6))-IF(AND(A25&gt;'Scenarios_10'!B6-4,A25&lt;='Scenarios_10'!B6),'Scenarios_10'!F6,0)),0)</f>
        <v>2272031.0</v>
      </c>
      <c r="I25" s="5">
        <f>IF(A25=0,'Scenarios_10'!E6,0)</f>
        <v>0.0</v>
      </c>
      <c r="J25" s="5">
        <f>IF(A25=0,0,IF('Scenarios_10'!C6="uniform_pct",INDEX('Inputs_Data_Raw'!E:E,5+A25)*(1-MIN('Scenarios_10'!G6,'Assumptions'!B9)),IF('Scenarios_10'!C6="electricity_only_pct",INDEX('Inputs_Data_Raw'!C:C,5+A25)*(1-MIN('Scenarios_10'!G6,'Assumptions'!B9))+INDEX('Inputs_Data_Raw'!D:D,5+A25),INDEX('Inputs_Data_Raw'!D:D,5+A25)*(1-AVERAGE('Assumptions'!B5,'Assumptions'!B6,'Assumptions'!B7,'Assumptions'!B8)))))</f>
        <v>1064700.0</v>
      </c>
      <c r="K25" s="5">
        <f>G25+H25+I25-J25</f>
        <v>1207331.0</v>
      </c>
      <c r="L25" s="5">
        <f>L24+K25</f>
        <v>1289924.0</v>
      </c>
    </row>
    <row r="26" spans="1:12">
      <c r="A26" s="8">
        <v>5</v>
      </c>
      <c r="B26" s="5">
        <f>IF(A26=0,-'Inputs_Data_Raw'!H5,0)</f>
        <v>0.0</v>
      </c>
      <c r="C26" s="5">
        <f>IF(A26=0,0,INDEX('Inputs_Data_Raw'!B:B, 5+A26))</f>
        <v>2342300.0</v>
      </c>
      <c r="D26" s="5">
        <f>IF(A26=0,0,INDEX('Inputs_Data_Raw'!E:E, 5+A26))</f>
        <v>1638000.0</v>
      </c>
      <c r="E26" s="5">
        <f>B26+C26-D26</f>
        <v>704300.0</v>
      </c>
      <c r="F26" s="5">
        <f>F25+E26</f>
        <v>-17900.0</v>
      </c>
      <c r="G26" s="5">
        <f>IF(A26=0,-'Inputs_Data_Raw'!H5,0)</f>
        <v>0.0</v>
      </c>
      <c r="H26" s="5">
        <f>IF(AND(A26&gt;=1,A26&lt;='Scenarios_10'!B6),MAX(0,(MAX(0,'Scenarios_10'!D6-'Scenarios_10'!E6/'Scenarios_10'!B6))-IF(AND(A26&gt;'Scenarios_10'!B6-4,A26&lt;='Scenarios_10'!B6),'Scenarios_10'!F6,0)),0)</f>
        <v>2272031.0</v>
      </c>
      <c r="I26" s="5">
        <f>IF(A26=0,'Scenarios_10'!E6,0)</f>
        <v>0.0</v>
      </c>
      <c r="J26" s="5">
        <f>IF(A26=0,0,IF('Scenarios_10'!C6="uniform_pct",INDEX('Inputs_Data_Raw'!E:E,5+A26)*(1-MIN('Scenarios_10'!G6,'Assumptions'!B9)),IF('Scenarios_10'!C6="electricity_only_pct",INDEX('Inputs_Data_Raw'!C:C,5+A26)*(1-MIN('Scenarios_10'!G6,'Assumptions'!B9))+INDEX('Inputs_Data_Raw'!D:D,5+A26),INDEX('Inputs_Data_Raw'!D:D,5+A26)*(1-AVERAGE('Assumptions'!B5,'Assumptions'!B6,'Assumptions'!B7,'Assumptions'!B8)))))</f>
        <v>1064700.0</v>
      </c>
      <c r="K26" s="5">
        <f>G26+H26+I26-J26</f>
        <v>1207331.0</v>
      </c>
      <c r="L26" s="5">
        <f>L25+K26</f>
        <v>2497255.0</v>
      </c>
    </row>
    <row r="27" spans="1:12">
      <c r="A27" s="8">
        <v>6</v>
      </c>
      <c r="B27" s="5">
        <f>IF(A27=0,-'Inputs_Data_Raw'!H5,0)</f>
        <v>0.0</v>
      </c>
      <c r="C27" s="5">
        <f>IF(A27=0,0,INDEX('Inputs_Data_Raw'!B:B, 5+A27))</f>
        <v>2342300.0</v>
      </c>
      <c r="D27" s="5">
        <f>IF(A27=0,0,INDEX('Inputs_Data_Raw'!E:E, 5+A27))</f>
        <v>1638000.0</v>
      </c>
      <c r="E27" s="5">
        <f>B27+C27-D27</f>
        <v>704300.0</v>
      </c>
      <c r="F27" s="5">
        <f>F26+E27</f>
        <v>686400.0</v>
      </c>
      <c r="G27" s="5">
        <f>IF(A27=0,-'Inputs_Data_Raw'!H5,0)</f>
        <v>0.0</v>
      </c>
      <c r="H27" s="5">
        <f>IF(AND(A27&gt;=1,A27&lt;='Scenarios_10'!B6),MAX(0,(MAX(0,'Scenarios_10'!D6-'Scenarios_10'!E6/'Scenarios_10'!B6))-IF(AND(A27&gt;'Scenarios_10'!B6-4,A27&lt;='Scenarios_10'!B6),'Scenarios_10'!F6,0)),0)</f>
        <v>2272031.0</v>
      </c>
      <c r="I27" s="5">
        <f>IF(A27=0,'Scenarios_10'!E6,0)</f>
        <v>0.0</v>
      </c>
      <c r="J27" s="5">
        <f>IF(A27=0,0,IF('Scenarios_10'!C6="uniform_pct",INDEX('Inputs_Data_Raw'!E:E,5+A27)*(1-MIN('Scenarios_10'!G6,'Assumptions'!B9)),IF('Scenarios_10'!C6="electricity_only_pct",INDEX('Inputs_Data_Raw'!C:C,5+A27)*(1-MIN('Scenarios_10'!G6,'Assumptions'!B9))+INDEX('Inputs_Data_Raw'!D:D,5+A27),INDEX('Inputs_Data_Raw'!D:D,5+A27)*(1-AVERAGE('Assumptions'!B5,'Assumptions'!B6,'Assumptions'!B7,'Assumptions'!B8)))))</f>
        <v>1064700.0</v>
      </c>
      <c r="K27" s="5">
        <f>G27+H27+I27-J27</f>
        <v>1207331.0</v>
      </c>
      <c r="L27" s="5">
        <f>L26+K27</f>
        <v>3704586.0</v>
      </c>
    </row>
    <row r="28" spans="1:12">
      <c r="A28" s="8">
        <v>7</v>
      </c>
      <c r="B28" s="5">
        <f>IF(A28=0,-'Inputs_Data_Raw'!H5,0)</f>
        <v>0.0</v>
      </c>
      <c r="C28" s="5">
        <f>IF(A28=0,0,INDEX('Inputs_Data_Raw'!B:B, 5+A28))</f>
        <v>2342300.0</v>
      </c>
      <c r="D28" s="5">
        <f>IF(A28=0,0,INDEX('Inputs_Data_Raw'!E:E, 5+A28))</f>
        <v>1638000.0</v>
      </c>
      <c r="E28" s="5">
        <f>B28+C28-D28</f>
        <v>704300.0</v>
      </c>
      <c r="F28" s="5">
        <f>F27+E28</f>
        <v>1390700.0</v>
      </c>
      <c r="G28" s="5">
        <f>IF(A28=0,-'Inputs_Data_Raw'!H5,0)</f>
        <v>0.0</v>
      </c>
      <c r="H28" s="5">
        <f>IF(AND(A28&gt;=1,A28&lt;='Scenarios_10'!B6),MAX(0,(MAX(0,'Scenarios_10'!D6-'Scenarios_10'!E6/'Scenarios_10'!B6))-IF(AND(A28&gt;'Scenarios_10'!B6-4,A28&lt;='Scenarios_10'!B6),'Scenarios_10'!F6,0)),0)</f>
        <v>2272031.0</v>
      </c>
      <c r="I28" s="5">
        <f>IF(A28=0,'Scenarios_10'!E6,0)</f>
        <v>0.0</v>
      </c>
      <c r="J28" s="5">
        <f>IF(A28=0,0,IF('Scenarios_10'!C6="uniform_pct",INDEX('Inputs_Data_Raw'!E:E,5+A28)*(1-MIN('Scenarios_10'!G6,'Assumptions'!B9)),IF('Scenarios_10'!C6="electricity_only_pct",INDEX('Inputs_Data_Raw'!C:C,5+A28)*(1-MIN('Scenarios_10'!G6,'Assumptions'!B9))+INDEX('Inputs_Data_Raw'!D:D,5+A28),INDEX('Inputs_Data_Raw'!D:D,5+A28)*(1-AVERAGE('Assumptions'!B5,'Assumptions'!B6,'Assumptions'!B7,'Assumptions'!B8)))))</f>
        <v>1064700.0</v>
      </c>
      <c r="K28" s="5">
        <f>G28+H28+I28-J28</f>
        <v>1207331.0</v>
      </c>
      <c r="L28" s="5">
        <f>L27+K28</f>
        <v>4911917.0</v>
      </c>
    </row>
    <row r="29" spans="1:12">
      <c r="A29" s="8">
        <v>8</v>
      </c>
      <c r="B29" s="5">
        <f>IF(A29=0,-'Inputs_Data_Raw'!H5,0)</f>
        <v>0.0</v>
      </c>
      <c r="C29" s="5">
        <f>IF(A29=0,0,INDEX('Inputs_Data_Raw'!B:B, 5+A29))</f>
        <v>2342300.0</v>
      </c>
      <c r="D29" s="5">
        <f>IF(A29=0,0,INDEX('Inputs_Data_Raw'!E:E, 5+A29))</f>
        <v>1638000.0</v>
      </c>
      <c r="E29" s="5">
        <f>B29+C29-D29</f>
        <v>704300.0</v>
      </c>
      <c r="F29" s="5">
        <f>F28+E29</f>
        <v>2095000.0</v>
      </c>
      <c r="G29" s="5">
        <f>IF(A29=0,-'Inputs_Data_Raw'!H5,0)</f>
        <v>0.0</v>
      </c>
      <c r="H29" s="5">
        <f>IF(AND(A29&gt;=1,A29&lt;='Scenarios_10'!B6),MAX(0,(MAX(0,'Scenarios_10'!D6-'Scenarios_10'!E6/'Scenarios_10'!B6))-IF(AND(A29&gt;'Scenarios_10'!B6-4,A29&lt;='Scenarios_10'!B6),'Scenarios_10'!F6,0)),0)</f>
        <v>2272031.0</v>
      </c>
      <c r="I29" s="5">
        <f>IF(A29=0,'Scenarios_10'!E6,0)</f>
        <v>0.0</v>
      </c>
      <c r="J29" s="5">
        <f>IF(A29=0,0,IF('Scenarios_10'!C6="uniform_pct",INDEX('Inputs_Data_Raw'!E:E,5+A29)*(1-MIN('Scenarios_10'!G6,'Assumptions'!B9)),IF('Scenarios_10'!C6="electricity_only_pct",INDEX('Inputs_Data_Raw'!C:C,5+A29)*(1-MIN('Scenarios_10'!G6,'Assumptions'!B9))+INDEX('Inputs_Data_Raw'!D:D,5+A29),INDEX('Inputs_Data_Raw'!D:D,5+A29)*(1-AVERAGE('Assumptions'!B5,'Assumptions'!B6,'Assumptions'!B7,'Assumptions'!B8)))))</f>
        <v>1064700.0</v>
      </c>
      <c r="K29" s="5">
        <f>G29+H29+I29-J29</f>
        <v>1207331.0</v>
      </c>
      <c r="L29" s="5">
        <f>L28+K29</f>
        <v>6119248.0</v>
      </c>
    </row>
    <row r="30" spans="1:12">
      <c r="A30" s="8">
        <v>9</v>
      </c>
      <c r="B30" s="5">
        <f>IF(A30=0,-'Inputs_Data_Raw'!H5,0)</f>
        <v>0.0</v>
      </c>
      <c r="C30" s="5">
        <f>IF(A30=0,0,INDEX('Inputs_Data_Raw'!B:B, 5+A30))</f>
        <v>2342300.0</v>
      </c>
      <c r="D30" s="5">
        <f>IF(A30=0,0,INDEX('Inputs_Data_Raw'!E:E, 5+A30))</f>
        <v>1638000.0</v>
      </c>
      <c r="E30" s="5">
        <f>B30+C30-D30</f>
        <v>704300.0</v>
      </c>
      <c r="F30" s="5">
        <f>F29+E30</f>
        <v>2799300.0</v>
      </c>
      <c r="G30" s="5">
        <f>IF(A30=0,-'Inputs_Data_Raw'!H5,0)</f>
        <v>0.0</v>
      </c>
      <c r="H30" s="5">
        <f>IF(AND(A30&gt;=1,A30&lt;='Scenarios_10'!B6),MAX(0,(MAX(0,'Scenarios_10'!D6-'Scenarios_10'!E6/'Scenarios_10'!B6))-IF(AND(A30&gt;'Scenarios_10'!B6-4,A30&lt;='Scenarios_10'!B6),'Scenarios_10'!F6,0)),0)</f>
        <v>2272031.0</v>
      </c>
      <c r="I30" s="5">
        <f>IF(A30=0,'Scenarios_10'!E6,0)</f>
        <v>0.0</v>
      </c>
      <c r="J30" s="5">
        <f>IF(A30=0,0,IF('Scenarios_10'!C6="uniform_pct",INDEX('Inputs_Data_Raw'!E:E,5+A30)*(1-MIN('Scenarios_10'!G6,'Assumptions'!B9)),IF('Scenarios_10'!C6="electricity_only_pct",INDEX('Inputs_Data_Raw'!C:C,5+A30)*(1-MIN('Scenarios_10'!G6,'Assumptions'!B9))+INDEX('Inputs_Data_Raw'!D:D,5+A30),INDEX('Inputs_Data_Raw'!D:D,5+A30)*(1-AVERAGE('Assumptions'!B5,'Assumptions'!B6,'Assumptions'!B7,'Assumptions'!B8)))))</f>
        <v>1064700.0</v>
      </c>
      <c r="K30" s="5">
        <f>G30+H30+I30-J30</f>
        <v>1207331.0</v>
      </c>
      <c r="L30" s="5">
        <f>L29+K30</f>
        <v>7326579.0</v>
      </c>
    </row>
    <row r="31" spans="1:12">
      <c r="A31" s="8">
        <v>10</v>
      </c>
      <c r="B31" s="5">
        <f>IF(A31=0,-'Inputs_Data_Raw'!H5,0)</f>
        <v>0.0</v>
      </c>
      <c r="C31" s="5">
        <f>IF(A31=0,0,INDEX('Inputs_Data_Raw'!B:B, 5+A31))</f>
        <v>2342300.0</v>
      </c>
      <c r="D31" s="5">
        <f>IF(A31=0,0,INDEX('Inputs_Data_Raw'!E:E, 5+A31))</f>
        <v>1638000.0</v>
      </c>
      <c r="E31" s="5">
        <f>B31+C31-D31</f>
        <v>704300.0</v>
      </c>
      <c r="F31" s="5">
        <f>F30+E31</f>
        <v>3503600.0</v>
      </c>
      <c r="G31" s="5">
        <f>IF(A31=0,-'Inputs_Data_Raw'!H5,0)</f>
        <v>0.0</v>
      </c>
      <c r="H31" s="5">
        <f>IF(AND(A31&gt;=1,A31&lt;='Scenarios_10'!B6),MAX(0,(MAX(0,'Scenarios_10'!D6-'Scenarios_10'!E6/'Scenarios_10'!B6))-IF(AND(A31&gt;'Scenarios_10'!B6-4,A31&lt;='Scenarios_10'!B6),'Scenarios_10'!F6,0)),0)</f>
        <v>2272031.0</v>
      </c>
      <c r="I31" s="5">
        <f>IF(A31=0,'Scenarios_10'!E6,0)</f>
        <v>0.0</v>
      </c>
      <c r="J31" s="5">
        <f>IF(A31=0,0,IF('Scenarios_10'!C6="uniform_pct",INDEX('Inputs_Data_Raw'!E:E,5+A31)*(1-MIN('Scenarios_10'!G6,'Assumptions'!B9)),IF('Scenarios_10'!C6="electricity_only_pct",INDEX('Inputs_Data_Raw'!C:C,5+A31)*(1-MIN('Scenarios_10'!G6,'Assumptions'!B9))+INDEX('Inputs_Data_Raw'!D:D,5+A31),INDEX('Inputs_Data_Raw'!D:D,5+A31)*(1-AVERAGE('Assumptions'!B5,'Assumptions'!B6,'Assumptions'!B7,'Assumptions'!B8)))))</f>
        <v>1064700.0</v>
      </c>
      <c r="K31" s="5">
        <f>G31+H31+I31-J31</f>
        <v>1207331.0</v>
      </c>
      <c r="L31" s="5">
        <f>L30+K31</f>
        <v>8533910.0</v>
      </c>
    </row>
    <row r="34" spans="1:12">
      <c r="A34" s="3" t="s">
        <v>103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6" t="s">
        <v>90</v>
      </c>
      <c r="B35" s="6" t="s">
        <v>91</v>
      </c>
      <c r="C35" s="6" t="s">
        <v>92</v>
      </c>
      <c r="D35" s="6" t="s">
        <v>93</v>
      </c>
      <c r="E35" s="6" t="s">
        <v>94</v>
      </c>
      <c r="F35" s="6" t="s">
        <v>95</v>
      </c>
      <c r="G35" s="6" t="s">
        <v>96</v>
      </c>
      <c r="H35" s="6" t="s">
        <v>97</v>
      </c>
      <c r="I35" s="6" t="s">
        <v>98</v>
      </c>
      <c r="J35" s="6" t="s">
        <v>99</v>
      </c>
      <c r="K35" s="6" t="s">
        <v>100</v>
      </c>
      <c r="L35" s="6" t="s">
        <v>101</v>
      </c>
    </row>
    <row r="36" spans="1:12">
      <c r="A36" s="8">
        <v>0</v>
      </c>
      <c r="B36" s="5">
        <f>IF(A36=0,-'Inputs_Data_Raw'!H5,0)</f>
        <v>-3539400.0</v>
      </c>
      <c r="C36" s="5">
        <f>IF(A36=0,0,INDEX('Inputs_Data_Raw'!B:B, 5+A36))</f>
        <v>0.0</v>
      </c>
      <c r="D36" s="5">
        <f>IF(A36=0,0,INDEX('Inputs_Data_Raw'!E:E, 5+A36))</f>
        <v>0.0</v>
      </c>
      <c r="E36" s="5">
        <f>B36+C36-D36</f>
        <v>-3539400.0</v>
      </c>
      <c r="F36" s="5">
        <f>E36</f>
        <v>-3539400.0</v>
      </c>
      <c r="G36" s="5">
        <f>IF(A36=0,-'Inputs_Data_Raw'!H5,0)</f>
        <v>-3539400.0</v>
      </c>
      <c r="H36" s="5">
        <f>IF(AND(A36&gt;=1,A36&lt;='Scenarios_10'!B7),MAX(0,(MAX(0,'Scenarios_10'!D7-'Scenarios_10'!E7/'Scenarios_10'!B7))-IF(AND(A36&gt;'Scenarios_10'!B7-4,A36&lt;='Scenarios_10'!B7),'Scenarios_10'!F7,0)),0)</f>
        <v>0.0</v>
      </c>
      <c r="I36" s="5">
        <f>IF(A36=0,'Scenarios_10'!E7,0)</f>
        <v>0.0</v>
      </c>
      <c r="J36" s="5">
        <f>IF(A36=0,0,IF('Scenarios_10'!C7="uniform_pct",INDEX('Inputs_Data_Raw'!E:E,5+A36)*(1-MIN('Scenarios_10'!G7,'Assumptions'!B9)),IF('Scenarios_10'!C7="electricity_only_pct",INDEX('Inputs_Data_Raw'!C:C,5+A36)*(1-MIN('Scenarios_10'!G7,'Assumptions'!B9))+INDEX('Inputs_Data_Raw'!D:D,5+A36),INDEX('Inputs_Data_Raw'!D:D,5+A36)*(1-AVERAGE('Assumptions'!B5,'Assumptions'!B6,'Assumptions'!B7,'Assumptions'!B8)))))</f>
        <v>0.0</v>
      </c>
      <c r="K36" s="5">
        <f>G36+H36+I36-J36</f>
        <v>-3539400.0</v>
      </c>
      <c r="L36" s="5">
        <f>K36</f>
        <v>-3539400.0</v>
      </c>
    </row>
    <row r="37" spans="1:12">
      <c r="A37" s="8">
        <v>1</v>
      </c>
      <c r="B37" s="5">
        <f>IF(A37=0,-'Inputs_Data_Raw'!H5,0)</f>
        <v>0.0</v>
      </c>
      <c r="C37" s="5">
        <f>IF(A37=0,0,INDEX('Inputs_Data_Raw'!B:B, 5+A37))</f>
        <v>2342300.0</v>
      </c>
      <c r="D37" s="5">
        <f>IF(A37=0,0,INDEX('Inputs_Data_Raw'!E:E, 5+A37))</f>
        <v>1638000.0</v>
      </c>
      <c r="E37" s="5">
        <f>B37+C37-D37</f>
        <v>704300.0</v>
      </c>
      <c r="F37" s="5">
        <f>F36+E37</f>
        <v>-2835100.0</v>
      </c>
      <c r="G37" s="5">
        <f>IF(A37=0,-'Inputs_Data_Raw'!H5,0)</f>
        <v>0.0</v>
      </c>
      <c r="H37" s="5">
        <f>IF(AND(A37&gt;=1,A37&lt;='Scenarios_10'!B7),MAX(0,(MAX(0,'Scenarios_10'!D7-'Scenarios_10'!E7/'Scenarios_10'!B7))-IF(AND(A37&gt;'Scenarios_10'!B7-4,A37&lt;='Scenarios_10'!B7),'Scenarios_10'!F7,0)),0)</f>
        <v>2248608.0</v>
      </c>
      <c r="I37" s="5">
        <f>IF(A37=0,'Scenarios_10'!E7,0)</f>
        <v>0.0</v>
      </c>
      <c r="J37" s="5">
        <f>IF(A37=0,0,IF('Scenarios_10'!C7="uniform_pct",INDEX('Inputs_Data_Raw'!E:E,5+A37)*(1-MIN('Scenarios_10'!G7,'Assumptions'!B9)),IF('Scenarios_10'!C7="electricity_only_pct",INDEX('Inputs_Data_Raw'!C:C,5+A37)*(1-MIN('Scenarios_10'!G7,'Assumptions'!B9))+INDEX('Inputs_Data_Raw'!D:D,5+A37),INDEX('Inputs_Data_Raw'!D:D,5+A37)*(1-AVERAGE('Assumptions'!B5,'Assumptions'!B6,'Assumptions'!B7,'Assumptions'!B8)))))</f>
        <v>1226800.0</v>
      </c>
      <c r="K37" s="5">
        <f>G37+H37+I37-J37</f>
        <v>1021808.0</v>
      </c>
      <c r="L37" s="5">
        <f>L36+K37</f>
        <v>-2517592.0</v>
      </c>
    </row>
    <row r="38" spans="1:12">
      <c r="A38" s="8">
        <v>2</v>
      </c>
      <c r="B38" s="5">
        <f>IF(A38=0,-'Inputs_Data_Raw'!H5,0)</f>
        <v>0.0</v>
      </c>
      <c r="C38" s="5">
        <f>IF(A38=0,0,INDEX('Inputs_Data_Raw'!B:B, 5+A38))</f>
        <v>2342300.0</v>
      </c>
      <c r="D38" s="5">
        <f>IF(A38=0,0,INDEX('Inputs_Data_Raw'!E:E, 5+A38))</f>
        <v>1638000.0</v>
      </c>
      <c r="E38" s="5">
        <f>B38+C38-D38</f>
        <v>704300.0</v>
      </c>
      <c r="F38" s="5">
        <f>F37+E38</f>
        <v>-2130800.0</v>
      </c>
      <c r="G38" s="5">
        <f>IF(A38=0,-'Inputs_Data_Raw'!H5,0)</f>
        <v>0.0</v>
      </c>
      <c r="H38" s="5">
        <f>IF(AND(A38&gt;=1,A38&lt;='Scenarios_10'!B7),MAX(0,(MAX(0,'Scenarios_10'!D7-'Scenarios_10'!E7/'Scenarios_10'!B7))-IF(AND(A38&gt;'Scenarios_10'!B7-4,A38&lt;='Scenarios_10'!B7),'Scenarios_10'!F7,0)),0)</f>
        <v>2248608.0</v>
      </c>
      <c r="I38" s="5">
        <f>IF(A38=0,'Scenarios_10'!E7,0)</f>
        <v>0.0</v>
      </c>
      <c r="J38" s="5">
        <f>IF(A38=0,0,IF('Scenarios_10'!C7="uniform_pct",INDEX('Inputs_Data_Raw'!E:E,5+A38)*(1-MIN('Scenarios_10'!G7,'Assumptions'!B9)),IF('Scenarios_10'!C7="electricity_only_pct",INDEX('Inputs_Data_Raw'!C:C,5+A38)*(1-MIN('Scenarios_10'!G7,'Assumptions'!B9))+INDEX('Inputs_Data_Raw'!D:D,5+A38),INDEX('Inputs_Data_Raw'!D:D,5+A38)*(1-AVERAGE('Assumptions'!B5,'Assumptions'!B6,'Assumptions'!B7,'Assumptions'!B8)))))</f>
        <v>1226800.0</v>
      </c>
      <c r="K38" s="5">
        <f>G38+H38+I38-J38</f>
        <v>1021808.0</v>
      </c>
      <c r="L38" s="5">
        <f>L37+K38</f>
        <v>-1495784.0</v>
      </c>
    </row>
    <row r="39" spans="1:12">
      <c r="A39" s="8">
        <v>3</v>
      </c>
      <c r="B39" s="5">
        <f>IF(A39=0,-'Inputs_Data_Raw'!H5,0)</f>
        <v>0.0</v>
      </c>
      <c r="C39" s="5">
        <f>IF(A39=0,0,INDEX('Inputs_Data_Raw'!B:B, 5+A39))</f>
        <v>2342300.0</v>
      </c>
      <c r="D39" s="5">
        <f>IF(A39=0,0,INDEX('Inputs_Data_Raw'!E:E, 5+A39))</f>
        <v>1638000.0</v>
      </c>
      <c r="E39" s="5">
        <f>B39+C39-D39</f>
        <v>704300.0</v>
      </c>
      <c r="F39" s="5">
        <f>F38+E39</f>
        <v>-1426500.0</v>
      </c>
      <c r="G39" s="5">
        <f>IF(A39=0,-'Inputs_Data_Raw'!H5,0)</f>
        <v>0.0</v>
      </c>
      <c r="H39" s="5">
        <f>IF(AND(A39&gt;=1,A39&lt;='Scenarios_10'!B7),MAX(0,(MAX(0,'Scenarios_10'!D7-'Scenarios_10'!E7/'Scenarios_10'!B7))-IF(AND(A39&gt;'Scenarios_10'!B7-4,A39&lt;='Scenarios_10'!B7),'Scenarios_10'!F7,0)),0)</f>
        <v>2248608.0</v>
      </c>
      <c r="I39" s="5">
        <f>IF(A39=0,'Scenarios_10'!E7,0)</f>
        <v>0.0</v>
      </c>
      <c r="J39" s="5">
        <f>IF(A39=0,0,IF('Scenarios_10'!C7="uniform_pct",INDEX('Inputs_Data_Raw'!E:E,5+A39)*(1-MIN('Scenarios_10'!G7,'Assumptions'!B9)),IF('Scenarios_10'!C7="electricity_only_pct",INDEX('Inputs_Data_Raw'!C:C,5+A39)*(1-MIN('Scenarios_10'!G7,'Assumptions'!B9))+INDEX('Inputs_Data_Raw'!D:D,5+A39),INDEX('Inputs_Data_Raw'!D:D,5+A39)*(1-AVERAGE('Assumptions'!B5,'Assumptions'!B6,'Assumptions'!B7,'Assumptions'!B8)))))</f>
        <v>1226800.0</v>
      </c>
      <c r="K39" s="5">
        <f>G39+H39+I39-J39</f>
        <v>1021808.0</v>
      </c>
      <c r="L39" s="5">
        <f>L38+K39</f>
        <v>-473976.0</v>
      </c>
    </row>
    <row r="40" spans="1:12">
      <c r="A40" s="8">
        <v>4</v>
      </c>
      <c r="B40" s="5">
        <f>IF(A40=0,-'Inputs_Data_Raw'!H5,0)</f>
        <v>0.0</v>
      </c>
      <c r="C40" s="5">
        <f>IF(A40=0,0,INDEX('Inputs_Data_Raw'!B:B, 5+A40))</f>
        <v>2342300.0</v>
      </c>
      <c r="D40" s="5">
        <f>IF(A40=0,0,INDEX('Inputs_Data_Raw'!E:E, 5+A40))</f>
        <v>1638000.0</v>
      </c>
      <c r="E40" s="5">
        <f>B40+C40-D40</f>
        <v>704300.0</v>
      </c>
      <c r="F40" s="5">
        <f>F39+E40</f>
        <v>-722200.0</v>
      </c>
      <c r="G40" s="5">
        <f>IF(A40=0,-'Inputs_Data_Raw'!H5,0)</f>
        <v>0.0</v>
      </c>
      <c r="H40" s="5">
        <f>IF(AND(A40&gt;=1,A40&lt;='Scenarios_10'!B7),MAX(0,(MAX(0,'Scenarios_10'!D7-'Scenarios_10'!E7/'Scenarios_10'!B7))-IF(AND(A40&gt;'Scenarios_10'!B7-4,A40&lt;='Scenarios_10'!B7),'Scenarios_10'!F7,0)),0)</f>
        <v>2248608.0</v>
      </c>
      <c r="I40" s="5">
        <f>IF(A40=0,'Scenarios_10'!E7,0)</f>
        <v>0.0</v>
      </c>
      <c r="J40" s="5">
        <f>IF(A40=0,0,IF('Scenarios_10'!C7="uniform_pct",INDEX('Inputs_Data_Raw'!E:E,5+A40)*(1-MIN('Scenarios_10'!G7,'Assumptions'!B9)),IF('Scenarios_10'!C7="electricity_only_pct",INDEX('Inputs_Data_Raw'!C:C,5+A40)*(1-MIN('Scenarios_10'!G7,'Assumptions'!B9))+INDEX('Inputs_Data_Raw'!D:D,5+A40),INDEX('Inputs_Data_Raw'!D:D,5+A40)*(1-AVERAGE('Assumptions'!B5,'Assumptions'!B6,'Assumptions'!B7,'Assumptions'!B8)))))</f>
        <v>1226800.0</v>
      </c>
      <c r="K40" s="5">
        <f>G40+H40+I40-J40</f>
        <v>1021808.0</v>
      </c>
      <c r="L40" s="5">
        <f>L39+K40</f>
        <v>547832.0</v>
      </c>
    </row>
    <row r="41" spans="1:12">
      <c r="A41" s="8">
        <v>5</v>
      </c>
      <c r="B41" s="5">
        <f>IF(A41=0,-'Inputs_Data_Raw'!H5,0)</f>
        <v>0.0</v>
      </c>
      <c r="C41" s="5">
        <f>IF(A41=0,0,INDEX('Inputs_Data_Raw'!B:B, 5+A41))</f>
        <v>2342300.0</v>
      </c>
      <c r="D41" s="5">
        <f>IF(A41=0,0,INDEX('Inputs_Data_Raw'!E:E, 5+A41))</f>
        <v>1638000.0</v>
      </c>
      <c r="E41" s="5">
        <f>B41+C41-D41</f>
        <v>704300.0</v>
      </c>
      <c r="F41" s="5">
        <f>F40+E41</f>
        <v>-17900.0</v>
      </c>
      <c r="G41" s="5">
        <f>IF(A41=0,-'Inputs_Data_Raw'!H5,0)</f>
        <v>0.0</v>
      </c>
      <c r="H41" s="5">
        <f>IF(AND(A41&gt;=1,A41&lt;='Scenarios_10'!B7),MAX(0,(MAX(0,'Scenarios_10'!D7-'Scenarios_10'!E7/'Scenarios_10'!B7))-IF(AND(A41&gt;'Scenarios_10'!B7-4,A41&lt;='Scenarios_10'!B7),'Scenarios_10'!F7,0)),0)</f>
        <v>2248608.0</v>
      </c>
      <c r="I41" s="5">
        <f>IF(A41=0,'Scenarios_10'!E7,0)</f>
        <v>0.0</v>
      </c>
      <c r="J41" s="5">
        <f>IF(A41=0,0,IF('Scenarios_10'!C7="uniform_pct",INDEX('Inputs_Data_Raw'!E:E,5+A41)*(1-MIN('Scenarios_10'!G7,'Assumptions'!B9)),IF('Scenarios_10'!C7="electricity_only_pct",INDEX('Inputs_Data_Raw'!C:C,5+A41)*(1-MIN('Scenarios_10'!G7,'Assumptions'!B9))+INDEX('Inputs_Data_Raw'!D:D,5+A41),INDEX('Inputs_Data_Raw'!D:D,5+A41)*(1-AVERAGE('Assumptions'!B5,'Assumptions'!B6,'Assumptions'!B7,'Assumptions'!B8)))))</f>
        <v>1226800.0</v>
      </c>
      <c r="K41" s="5">
        <f>G41+H41+I41-J41</f>
        <v>1021808.0</v>
      </c>
      <c r="L41" s="5">
        <f>L40+K41</f>
        <v>1569640.0</v>
      </c>
    </row>
    <row r="42" spans="1:12">
      <c r="A42" s="8">
        <v>6</v>
      </c>
      <c r="B42" s="5">
        <f>IF(A42=0,-'Inputs_Data_Raw'!H5,0)</f>
        <v>0.0</v>
      </c>
      <c r="C42" s="5">
        <f>IF(A42=0,0,INDEX('Inputs_Data_Raw'!B:B, 5+A42))</f>
        <v>2342300.0</v>
      </c>
      <c r="D42" s="5">
        <f>IF(A42=0,0,INDEX('Inputs_Data_Raw'!E:E, 5+A42))</f>
        <v>1638000.0</v>
      </c>
      <c r="E42" s="5">
        <f>B42+C42-D42</f>
        <v>704300.0</v>
      </c>
      <c r="F42" s="5">
        <f>F41+E42</f>
        <v>686400.0</v>
      </c>
      <c r="G42" s="5">
        <f>IF(A42=0,-'Inputs_Data_Raw'!H5,0)</f>
        <v>0.0</v>
      </c>
      <c r="H42" s="5">
        <f>IF(AND(A42&gt;=1,A42&lt;='Scenarios_10'!B7),MAX(0,(MAX(0,'Scenarios_10'!D7-'Scenarios_10'!E7/'Scenarios_10'!B7))-IF(AND(A42&gt;'Scenarios_10'!B7-4,A42&lt;='Scenarios_10'!B7),'Scenarios_10'!F7,0)),0)</f>
        <v>2248608.0</v>
      </c>
      <c r="I42" s="5">
        <f>IF(A42=0,'Scenarios_10'!E7,0)</f>
        <v>0.0</v>
      </c>
      <c r="J42" s="5">
        <f>IF(A42=0,0,IF('Scenarios_10'!C7="uniform_pct",INDEX('Inputs_Data_Raw'!E:E,5+A42)*(1-MIN('Scenarios_10'!G7,'Assumptions'!B9)),IF('Scenarios_10'!C7="electricity_only_pct",INDEX('Inputs_Data_Raw'!C:C,5+A42)*(1-MIN('Scenarios_10'!G7,'Assumptions'!B9))+INDEX('Inputs_Data_Raw'!D:D,5+A42),INDEX('Inputs_Data_Raw'!D:D,5+A42)*(1-AVERAGE('Assumptions'!B5,'Assumptions'!B6,'Assumptions'!B7,'Assumptions'!B8)))))</f>
        <v>1226800.0</v>
      </c>
      <c r="K42" s="5">
        <f>G42+H42+I42-J42</f>
        <v>1021808.0</v>
      </c>
      <c r="L42" s="5">
        <f>L41+K42</f>
        <v>2591448.0</v>
      </c>
    </row>
    <row r="43" spans="1:12">
      <c r="A43" s="8">
        <v>7</v>
      </c>
      <c r="B43" s="5">
        <f>IF(A43=0,-'Inputs_Data_Raw'!H5,0)</f>
        <v>0.0</v>
      </c>
      <c r="C43" s="5">
        <f>IF(A43=0,0,INDEX('Inputs_Data_Raw'!B:B, 5+A43))</f>
        <v>2342300.0</v>
      </c>
      <c r="D43" s="5">
        <f>IF(A43=0,0,INDEX('Inputs_Data_Raw'!E:E, 5+A43))</f>
        <v>1638000.0</v>
      </c>
      <c r="E43" s="5">
        <f>B43+C43-D43</f>
        <v>704300.0</v>
      </c>
      <c r="F43" s="5">
        <f>F42+E43</f>
        <v>1390700.0</v>
      </c>
      <c r="G43" s="5">
        <f>IF(A43=0,-'Inputs_Data_Raw'!H5,0)</f>
        <v>0.0</v>
      </c>
      <c r="H43" s="5">
        <f>IF(AND(A43&gt;=1,A43&lt;='Scenarios_10'!B7),MAX(0,(MAX(0,'Scenarios_10'!D7-'Scenarios_10'!E7/'Scenarios_10'!B7))-IF(AND(A43&gt;'Scenarios_10'!B7-4,A43&lt;='Scenarios_10'!B7),'Scenarios_10'!F7,0)),0)</f>
        <v>2248608.0</v>
      </c>
      <c r="I43" s="5">
        <f>IF(A43=0,'Scenarios_10'!E7,0)</f>
        <v>0.0</v>
      </c>
      <c r="J43" s="5">
        <f>IF(A43=0,0,IF('Scenarios_10'!C7="uniform_pct",INDEX('Inputs_Data_Raw'!E:E,5+A43)*(1-MIN('Scenarios_10'!G7,'Assumptions'!B9)),IF('Scenarios_10'!C7="electricity_only_pct",INDEX('Inputs_Data_Raw'!C:C,5+A43)*(1-MIN('Scenarios_10'!G7,'Assumptions'!B9))+INDEX('Inputs_Data_Raw'!D:D,5+A43),INDEX('Inputs_Data_Raw'!D:D,5+A43)*(1-AVERAGE('Assumptions'!B5,'Assumptions'!B6,'Assumptions'!B7,'Assumptions'!B8)))))</f>
        <v>1226800.0</v>
      </c>
      <c r="K43" s="5">
        <f>G43+H43+I43-J43</f>
        <v>1021808.0</v>
      </c>
      <c r="L43" s="5">
        <f>L42+K43</f>
        <v>3613256.0</v>
      </c>
    </row>
    <row r="44" spans="1:12">
      <c r="A44" s="8">
        <v>8</v>
      </c>
      <c r="B44" s="5">
        <f>IF(A44=0,-'Inputs_Data_Raw'!H5,0)</f>
        <v>0.0</v>
      </c>
      <c r="C44" s="5">
        <f>IF(A44=0,0,INDEX('Inputs_Data_Raw'!B:B, 5+A44))</f>
        <v>2342300.0</v>
      </c>
      <c r="D44" s="5">
        <f>IF(A44=0,0,INDEX('Inputs_Data_Raw'!E:E, 5+A44))</f>
        <v>1638000.0</v>
      </c>
      <c r="E44" s="5">
        <f>B44+C44-D44</f>
        <v>704300.0</v>
      </c>
      <c r="F44" s="5">
        <f>F43+E44</f>
        <v>2095000.0</v>
      </c>
      <c r="G44" s="5">
        <f>IF(A44=0,-'Inputs_Data_Raw'!H5,0)</f>
        <v>0.0</v>
      </c>
      <c r="H44" s="5">
        <f>IF(AND(A44&gt;=1,A44&lt;='Scenarios_10'!B7),MAX(0,(MAX(0,'Scenarios_10'!D7-'Scenarios_10'!E7/'Scenarios_10'!B7))-IF(AND(A44&gt;'Scenarios_10'!B7-4,A44&lt;='Scenarios_10'!B7),'Scenarios_10'!F7,0)),0)</f>
        <v>2248608.0</v>
      </c>
      <c r="I44" s="5">
        <f>IF(A44=0,'Scenarios_10'!E7,0)</f>
        <v>0.0</v>
      </c>
      <c r="J44" s="5">
        <f>IF(A44=0,0,IF('Scenarios_10'!C7="uniform_pct",INDEX('Inputs_Data_Raw'!E:E,5+A44)*(1-MIN('Scenarios_10'!G7,'Assumptions'!B9)),IF('Scenarios_10'!C7="electricity_only_pct",INDEX('Inputs_Data_Raw'!C:C,5+A44)*(1-MIN('Scenarios_10'!G7,'Assumptions'!B9))+INDEX('Inputs_Data_Raw'!D:D,5+A44),INDEX('Inputs_Data_Raw'!D:D,5+A44)*(1-AVERAGE('Assumptions'!B5,'Assumptions'!B6,'Assumptions'!B7,'Assumptions'!B8)))))</f>
        <v>1226800.0</v>
      </c>
      <c r="K44" s="5">
        <f>G44+H44+I44-J44</f>
        <v>1021808.0</v>
      </c>
      <c r="L44" s="5">
        <f>L43+K44</f>
        <v>4635064.0</v>
      </c>
    </row>
    <row r="45" spans="1:12">
      <c r="A45" s="8">
        <v>9</v>
      </c>
      <c r="B45" s="5">
        <f>IF(A45=0,-'Inputs_Data_Raw'!H5,0)</f>
        <v>0.0</v>
      </c>
      <c r="C45" s="5">
        <f>IF(A45=0,0,INDEX('Inputs_Data_Raw'!B:B, 5+A45))</f>
        <v>2342300.0</v>
      </c>
      <c r="D45" s="5">
        <f>IF(A45=0,0,INDEX('Inputs_Data_Raw'!E:E, 5+A45))</f>
        <v>1638000.0</v>
      </c>
      <c r="E45" s="5">
        <f>B45+C45-D45</f>
        <v>704300.0</v>
      </c>
      <c r="F45" s="5">
        <f>F44+E45</f>
        <v>2799300.0</v>
      </c>
      <c r="G45" s="5">
        <f>IF(A45=0,-'Inputs_Data_Raw'!H5,0)</f>
        <v>0.0</v>
      </c>
      <c r="H45" s="5">
        <f>IF(AND(A45&gt;=1,A45&lt;='Scenarios_10'!B7),MAX(0,(MAX(0,'Scenarios_10'!D7-'Scenarios_10'!E7/'Scenarios_10'!B7))-IF(AND(A45&gt;'Scenarios_10'!B7-4,A45&lt;='Scenarios_10'!B7),'Scenarios_10'!F7,0)),0)</f>
        <v>2248608.0</v>
      </c>
      <c r="I45" s="5">
        <f>IF(A45=0,'Scenarios_10'!E7,0)</f>
        <v>0.0</v>
      </c>
      <c r="J45" s="5">
        <f>IF(A45=0,0,IF('Scenarios_10'!C7="uniform_pct",INDEX('Inputs_Data_Raw'!E:E,5+A45)*(1-MIN('Scenarios_10'!G7,'Assumptions'!B9)),IF('Scenarios_10'!C7="electricity_only_pct",INDEX('Inputs_Data_Raw'!C:C,5+A45)*(1-MIN('Scenarios_10'!G7,'Assumptions'!B9))+INDEX('Inputs_Data_Raw'!D:D,5+A45),INDEX('Inputs_Data_Raw'!D:D,5+A45)*(1-AVERAGE('Assumptions'!B5,'Assumptions'!B6,'Assumptions'!B7,'Assumptions'!B8)))))</f>
        <v>1226800.0</v>
      </c>
      <c r="K45" s="5">
        <f>G45+H45+I45-J45</f>
        <v>1021808.0</v>
      </c>
      <c r="L45" s="5">
        <f>L44+K45</f>
        <v>5656872.0</v>
      </c>
    </row>
    <row r="46" spans="1:12">
      <c r="A46" s="8">
        <v>10</v>
      </c>
      <c r="B46" s="5">
        <f>IF(A46=0,-'Inputs_Data_Raw'!H5,0)</f>
        <v>0.0</v>
      </c>
      <c r="C46" s="5">
        <f>IF(A46=0,0,INDEX('Inputs_Data_Raw'!B:B, 5+A46))</f>
        <v>2342300.0</v>
      </c>
      <c r="D46" s="5">
        <f>IF(A46=0,0,INDEX('Inputs_Data_Raw'!E:E, 5+A46))</f>
        <v>1638000.0</v>
      </c>
      <c r="E46" s="5">
        <f>B46+C46-D46</f>
        <v>704300.0</v>
      </c>
      <c r="F46" s="5">
        <f>F45+E46</f>
        <v>3503600.0</v>
      </c>
      <c r="G46" s="5">
        <f>IF(A46=0,-'Inputs_Data_Raw'!H5,0)</f>
        <v>0.0</v>
      </c>
      <c r="H46" s="5">
        <f>IF(AND(A46&gt;=1,A46&lt;='Scenarios_10'!B7),MAX(0,(MAX(0,'Scenarios_10'!D7-'Scenarios_10'!E7/'Scenarios_10'!B7))-IF(AND(A46&gt;'Scenarios_10'!B7-4,A46&lt;='Scenarios_10'!B7),'Scenarios_10'!F7,0)),0)</f>
        <v>2248608.0</v>
      </c>
      <c r="I46" s="5">
        <f>IF(A46=0,'Scenarios_10'!E7,0)</f>
        <v>0.0</v>
      </c>
      <c r="J46" s="5">
        <f>IF(A46=0,0,IF('Scenarios_10'!C7="uniform_pct",INDEX('Inputs_Data_Raw'!E:E,5+A46)*(1-MIN('Scenarios_10'!G7,'Assumptions'!B9)),IF('Scenarios_10'!C7="electricity_only_pct",INDEX('Inputs_Data_Raw'!C:C,5+A46)*(1-MIN('Scenarios_10'!G7,'Assumptions'!B9))+INDEX('Inputs_Data_Raw'!D:D,5+A46),INDEX('Inputs_Data_Raw'!D:D,5+A46)*(1-AVERAGE('Assumptions'!B5,'Assumptions'!B6,'Assumptions'!B7,'Assumptions'!B8)))))</f>
        <v>1226800.0</v>
      </c>
      <c r="K46" s="5">
        <f>G46+H46+I46-J46</f>
        <v>1021808.0</v>
      </c>
      <c r="L46" s="5">
        <f>L45+K46</f>
        <v>6678680.0</v>
      </c>
    </row>
    <row r="49" spans="1:12">
      <c r="A49" s="3" t="s">
        <v>104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6" t="s">
        <v>90</v>
      </c>
      <c r="B50" s="6" t="s">
        <v>91</v>
      </c>
      <c r="C50" s="6" t="s">
        <v>92</v>
      </c>
      <c r="D50" s="6" t="s">
        <v>93</v>
      </c>
      <c r="E50" s="6" t="s">
        <v>94</v>
      </c>
      <c r="F50" s="6" t="s">
        <v>95</v>
      </c>
      <c r="G50" s="6" t="s">
        <v>96</v>
      </c>
      <c r="H50" s="6" t="s">
        <v>97</v>
      </c>
      <c r="I50" s="6" t="s">
        <v>98</v>
      </c>
      <c r="J50" s="6" t="s">
        <v>99</v>
      </c>
      <c r="K50" s="6" t="s">
        <v>100</v>
      </c>
      <c r="L50" s="6" t="s">
        <v>101</v>
      </c>
    </row>
    <row r="51" spans="1:12">
      <c r="A51" s="8">
        <v>0</v>
      </c>
      <c r="B51" s="5">
        <f>IF(A51=0,-'Inputs_Data_Raw'!H5,0)</f>
        <v>-3539400.0</v>
      </c>
      <c r="C51" s="5">
        <f>IF(A51=0,0,INDEX('Inputs_Data_Raw'!B:B, 5+A51))</f>
        <v>0.0</v>
      </c>
      <c r="D51" s="5">
        <f>IF(A51=0,0,INDEX('Inputs_Data_Raw'!E:E, 5+A51))</f>
        <v>0.0</v>
      </c>
      <c r="E51" s="5">
        <f>B51+C51-D51</f>
        <v>-3539400.0</v>
      </c>
      <c r="F51" s="5">
        <f>E51</f>
        <v>-3539400.0</v>
      </c>
      <c r="G51" s="5">
        <f>IF(A51=0,-'Inputs_Data_Raw'!H5,0)</f>
        <v>-3539400.0</v>
      </c>
      <c r="H51" s="5">
        <f>IF(AND(A51&gt;=1,A51&lt;='Scenarios_10'!B8),MAX(0,(MAX(0,'Scenarios_10'!D8-'Scenarios_10'!E8/'Scenarios_10'!B8))-IF(AND(A51&gt;'Scenarios_10'!B8-4,A51&lt;='Scenarios_10'!B8),'Scenarios_10'!F8,0)),0)</f>
        <v>0.0</v>
      </c>
      <c r="I51" s="5">
        <f>IF(A51=0,'Scenarios_10'!E8,0)</f>
        <v>0.0</v>
      </c>
      <c r="J51" s="5">
        <f>IF(A51=0,0,IF('Scenarios_10'!C8="uniform_pct",INDEX('Inputs_Data_Raw'!E:E,5+A51)*(1-MIN('Scenarios_10'!G8,'Assumptions'!B9)),IF('Scenarios_10'!C8="electricity_only_pct",INDEX('Inputs_Data_Raw'!C:C,5+A51)*(1-MIN('Scenarios_10'!G8,'Assumptions'!B9))+INDEX('Inputs_Data_Raw'!D:D,5+A51),INDEX('Inputs_Data_Raw'!D:D,5+A51)*(1-AVERAGE('Assumptions'!B5,'Assumptions'!B6,'Assumptions'!B7,'Assumptions'!B8)))))</f>
        <v>0.0</v>
      </c>
      <c r="K51" s="5">
        <f>G51+H51+I51-J51</f>
        <v>-3539400.0</v>
      </c>
      <c r="L51" s="5">
        <f>K51</f>
        <v>-3539400.0</v>
      </c>
    </row>
    <row r="52" spans="1:12">
      <c r="A52" s="8">
        <v>1</v>
      </c>
      <c r="B52" s="5">
        <f>IF(A52=0,-'Inputs_Data_Raw'!H5,0)</f>
        <v>0.0</v>
      </c>
      <c r="C52" s="5">
        <f>IF(A52=0,0,INDEX('Inputs_Data_Raw'!B:B, 5+A52))</f>
        <v>2342300.0</v>
      </c>
      <c r="D52" s="5">
        <f>IF(A52=0,0,INDEX('Inputs_Data_Raw'!E:E, 5+A52))</f>
        <v>1638000.0</v>
      </c>
      <c r="E52" s="5">
        <f>B52+C52-D52</f>
        <v>704300.0</v>
      </c>
      <c r="F52" s="5">
        <f>F51+E52</f>
        <v>-2835100.0</v>
      </c>
      <c r="G52" s="5">
        <f>IF(A52=0,-'Inputs_Data_Raw'!H5,0)</f>
        <v>0.0</v>
      </c>
      <c r="H52" s="5">
        <f>IF(AND(A52&gt;=1,A52&lt;='Scenarios_10'!B8),MAX(0,(MAX(0,'Scenarios_10'!D8-'Scenarios_10'!E8/'Scenarios_10'!B8))-IF(AND(A52&gt;'Scenarios_10'!B8-4,A52&lt;='Scenarios_10'!B8),'Scenarios_10'!F8,0)),0)</f>
        <v>2295454.0</v>
      </c>
      <c r="I52" s="5">
        <f>IF(A52=0,'Scenarios_10'!E8,0)</f>
        <v>0.0</v>
      </c>
      <c r="J52" s="5">
        <f>IF(A52=0,0,IF('Scenarios_10'!C8="uniform_pct",INDEX('Inputs_Data_Raw'!E:E,5+A52)*(1-MIN('Scenarios_10'!G8,'Assumptions'!B9)),IF('Scenarios_10'!C8="electricity_only_pct",INDEX('Inputs_Data_Raw'!C:C,5+A52)*(1-MIN('Scenarios_10'!G8,'Assumptions'!B9))+INDEX('Inputs_Data_Raw'!D:D,5+A52),INDEX('Inputs_Data_Raw'!D:D,5+A52)*(1-AVERAGE('Assumptions'!B5,'Assumptions'!B6,'Assumptions'!B7,'Assumptions'!B8)))))</f>
        <v>1021200.0</v>
      </c>
      <c r="K52" s="5">
        <f>G52+H52+I52-J52</f>
        <v>1274254.0</v>
      </c>
      <c r="L52" s="5">
        <f>L51+K52</f>
        <v>-2265146.0</v>
      </c>
    </row>
    <row r="53" spans="1:12">
      <c r="A53" s="8">
        <v>2</v>
      </c>
      <c r="B53" s="5">
        <f>IF(A53=0,-'Inputs_Data_Raw'!H5,0)</f>
        <v>0.0</v>
      </c>
      <c r="C53" s="5">
        <f>IF(A53=0,0,INDEX('Inputs_Data_Raw'!B:B, 5+A53))</f>
        <v>2342300.0</v>
      </c>
      <c r="D53" s="5">
        <f>IF(A53=0,0,INDEX('Inputs_Data_Raw'!E:E, 5+A53))</f>
        <v>1638000.0</v>
      </c>
      <c r="E53" s="5">
        <f>B53+C53-D53</f>
        <v>704300.0</v>
      </c>
      <c r="F53" s="5">
        <f>F52+E53</f>
        <v>-2130800.0</v>
      </c>
      <c r="G53" s="5">
        <f>IF(A53=0,-'Inputs_Data_Raw'!H5,0)</f>
        <v>0.0</v>
      </c>
      <c r="H53" s="5">
        <f>IF(AND(A53&gt;=1,A53&lt;='Scenarios_10'!B8),MAX(0,(MAX(0,'Scenarios_10'!D8-'Scenarios_10'!E8/'Scenarios_10'!B8))-IF(AND(A53&gt;'Scenarios_10'!B8-4,A53&lt;='Scenarios_10'!B8),'Scenarios_10'!F8,0)),0)</f>
        <v>2295454.0</v>
      </c>
      <c r="I53" s="5">
        <f>IF(A53=0,'Scenarios_10'!E8,0)</f>
        <v>0.0</v>
      </c>
      <c r="J53" s="5">
        <f>IF(A53=0,0,IF('Scenarios_10'!C8="uniform_pct",INDEX('Inputs_Data_Raw'!E:E,5+A53)*(1-MIN('Scenarios_10'!G8,'Assumptions'!B9)),IF('Scenarios_10'!C8="electricity_only_pct",INDEX('Inputs_Data_Raw'!C:C,5+A53)*(1-MIN('Scenarios_10'!G8,'Assumptions'!B9))+INDEX('Inputs_Data_Raw'!D:D,5+A53),INDEX('Inputs_Data_Raw'!D:D,5+A53)*(1-AVERAGE('Assumptions'!B5,'Assumptions'!B6,'Assumptions'!B7,'Assumptions'!B8)))))</f>
        <v>1021200.0</v>
      </c>
      <c r="K53" s="5">
        <f>G53+H53+I53-J53</f>
        <v>1274254.0</v>
      </c>
      <c r="L53" s="5">
        <f>L52+K53</f>
        <v>-990892.0</v>
      </c>
    </row>
    <row r="54" spans="1:12">
      <c r="A54" s="8">
        <v>3</v>
      </c>
      <c r="B54" s="5">
        <f>IF(A54=0,-'Inputs_Data_Raw'!H5,0)</f>
        <v>0.0</v>
      </c>
      <c r="C54" s="5">
        <f>IF(A54=0,0,INDEX('Inputs_Data_Raw'!B:B, 5+A54))</f>
        <v>2342300.0</v>
      </c>
      <c r="D54" s="5">
        <f>IF(A54=0,0,INDEX('Inputs_Data_Raw'!E:E, 5+A54))</f>
        <v>1638000.0</v>
      </c>
      <c r="E54" s="5">
        <f>B54+C54-D54</f>
        <v>704300.0</v>
      </c>
      <c r="F54" s="5">
        <f>F53+E54</f>
        <v>-1426500.0</v>
      </c>
      <c r="G54" s="5">
        <f>IF(A54=0,-'Inputs_Data_Raw'!H5,0)</f>
        <v>0.0</v>
      </c>
      <c r="H54" s="5">
        <f>IF(AND(A54&gt;=1,A54&lt;='Scenarios_10'!B8),MAX(0,(MAX(0,'Scenarios_10'!D8-'Scenarios_10'!E8/'Scenarios_10'!B8))-IF(AND(A54&gt;'Scenarios_10'!B8-4,A54&lt;='Scenarios_10'!B8),'Scenarios_10'!F8,0)),0)</f>
        <v>2295454.0</v>
      </c>
      <c r="I54" s="5">
        <f>IF(A54=0,'Scenarios_10'!E8,0)</f>
        <v>0.0</v>
      </c>
      <c r="J54" s="5">
        <f>IF(A54=0,0,IF('Scenarios_10'!C8="uniform_pct",INDEX('Inputs_Data_Raw'!E:E,5+A54)*(1-MIN('Scenarios_10'!G8,'Assumptions'!B9)),IF('Scenarios_10'!C8="electricity_only_pct",INDEX('Inputs_Data_Raw'!C:C,5+A54)*(1-MIN('Scenarios_10'!G8,'Assumptions'!B9))+INDEX('Inputs_Data_Raw'!D:D,5+A54),INDEX('Inputs_Data_Raw'!D:D,5+A54)*(1-AVERAGE('Assumptions'!B5,'Assumptions'!B6,'Assumptions'!B7,'Assumptions'!B8)))))</f>
        <v>1021200.0</v>
      </c>
      <c r="K54" s="5">
        <f>G54+H54+I54-J54</f>
        <v>1274254.0</v>
      </c>
      <c r="L54" s="5">
        <f>L53+K54</f>
        <v>283362.0</v>
      </c>
    </row>
    <row r="55" spans="1:12">
      <c r="A55" s="8">
        <v>4</v>
      </c>
      <c r="B55" s="5">
        <f>IF(A55=0,-'Inputs_Data_Raw'!H5,0)</f>
        <v>0.0</v>
      </c>
      <c r="C55" s="5">
        <f>IF(A55=0,0,INDEX('Inputs_Data_Raw'!B:B, 5+A55))</f>
        <v>2342300.0</v>
      </c>
      <c r="D55" s="5">
        <f>IF(A55=0,0,INDEX('Inputs_Data_Raw'!E:E, 5+A55))</f>
        <v>1638000.0</v>
      </c>
      <c r="E55" s="5">
        <f>B55+C55-D55</f>
        <v>704300.0</v>
      </c>
      <c r="F55" s="5">
        <f>F54+E55</f>
        <v>-722200.0</v>
      </c>
      <c r="G55" s="5">
        <f>IF(A55=0,-'Inputs_Data_Raw'!H5,0)</f>
        <v>0.0</v>
      </c>
      <c r="H55" s="5">
        <f>IF(AND(A55&gt;=1,A55&lt;='Scenarios_10'!B8),MAX(0,(MAX(0,'Scenarios_10'!D8-'Scenarios_10'!E8/'Scenarios_10'!B8))-IF(AND(A55&gt;'Scenarios_10'!B8-4,A55&lt;='Scenarios_10'!B8),'Scenarios_10'!F8,0)),0)</f>
        <v>2295454.0</v>
      </c>
      <c r="I55" s="5">
        <f>IF(A55=0,'Scenarios_10'!E8,0)</f>
        <v>0.0</v>
      </c>
      <c r="J55" s="5">
        <f>IF(A55=0,0,IF('Scenarios_10'!C8="uniform_pct",INDEX('Inputs_Data_Raw'!E:E,5+A55)*(1-MIN('Scenarios_10'!G8,'Assumptions'!B9)),IF('Scenarios_10'!C8="electricity_only_pct",INDEX('Inputs_Data_Raw'!C:C,5+A55)*(1-MIN('Scenarios_10'!G8,'Assumptions'!B9))+INDEX('Inputs_Data_Raw'!D:D,5+A55),INDEX('Inputs_Data_Raw'!D:D,5+A55)*(1-AVERAGE('Assumptions'!B5,'Assumptions'!B6,'Assumptions'!B7,'Assumptions'!B8)))))</f>
        <v>1021200.0</v>
      </c>
      <c r="K55" s="5">
        <f>G55+H55+I55-J55</f>
        <v>1274254.0</v>
      </c>
      <c r="L55" s="5">
        <f>L54+K55</f>
        <v>1557616.0</v>
      </c>
    </row>
    <row r="56" spans="1:12">
      <c r="A56" s="8">
        <v>5</v>
      </c>
      <c r="B56" s="5">
        <f>IF(A56=0,-'Inputs_Data_Raw'!H5,0)</f>
        <v>0.0</v>
      </c>
      <c r="C56" s="5">
        <f>IF(A56=0,0,INDEX('Inputs_Data_Raw'!B:B, 5+A56))</f>
        <v>2342300.0</v>
      </c>
      <c r="D56" s="5">
        <f>IF(A56=0,0,INDEX('Inputs_Data_Raw'!E:E, 5+A56))</f>
        <v>1638000.0</v>
      </c>
      <c r="E56" s="5">
        <f>B56+C56-D56</f>
        <v>704300.0</v>
      </c>
      <c r="F56" s="5">
        <f>F55+E56</f>
        <v>-17900.0</v>
      </c>
      <c r="G56" s="5">
        <f>IF(A56=0,-'Inputs_Data_Raw'!H5,0)</f>
        <v>0.0</v>
      </c>
      <c r="H56" s="5">
        <f>IF(AND(A56&gt;=1,A56&lt;='Scenarios_10'!B8),MAX(0,(MAX(0,'Scenarios_10'!D8-'Scenarios_10'!E8/'Scenarios_10'!B8))-IF(AND(A56&gt;'Scenarios_10'!B8-4,A56&lt;='Scenarios_10'!B8),'Scenarios_10'!F8,0)),0)</f>
        <v>2295454.0</v>
      </c>
      <c r="I56" s="5">
        <f>IF(A56=0,'Scenarios_10'!E8,0)</f>
        <v>0.0</v>
      </c>
      <c r="J56" s="5">
        <f>IF(A56=0,0,IF('Scenarios_10'!C8="uniform_pct",INDEX('Inputs_Data_Raw'!E:E,5+A56)*(1-MIN('Scenarios_10'!G8,'Assumptions'!B9)),IF('Scenarios_10'!C8="electricity_only_pct",INDEX('Inputs_Data_Raw'!C:C,5+A56)*(1-MIN('Scenarios_10'!G8,'Assumptions'!B9))+INDEX('Inputs_Data_Raw'!D:D,5+A56),INDEX('Inputs_Data_Raw'!D:D,5+A56)*(1-AVERAGE('Assumptions'!B5,'Assumptions'!B6,'Assumptions'!B7,'Assumptions'!B8)))))</f>
        <v>1021200.0</v>
      </c>
      <c r="K56" s="5">
        <f>G56+H56+I56-J56</f>
        <v>1274254.0</v>
      </c>
      <c r="L56" s="5">
        <f>L55+K56</f>
        <v>2831870.0</v>
      </c>
    </row>
    <row r="57" spans="1:12">
      <c r="A57" s="8">
        <v>6</v>
      </c>
      <c r="B57" s="5">
        <f>IF(A57=0,-'Inputs_Data_Raw'!H5,0)</f>
        <v>0.0</v>
      </c>
      <c r="C57" s="5">
        <f>IF(A57=0,0,INDEX('Inputs_Data_Raw'!B:B, 5+A57))</f>
        <v>2342300.0</v>
      </c>
      <c r="D57" s="5">
        <f>IF(A57=0,0,INDEX('Inputs_Data_Raw'!E:E, 5+A57))</f>
        <v>1638000.0</v>
      </c>
      <c r="E57" s="5">
        <f>B57+C57-D57</f>
        <v>704300.0</v>
      </c>
      <c r="F57" s="5">
        <f>F56+E57</f>
        <v>686400.0</v>
      </c>
      <c r="G57" s="5">
        <f>IF(A57=0,-'Inputs_Data_Raw'!H5,0)</f>
        <v>0.0</v>
      </c>
      <c r="H57" s="5">
        <f>IF(AND(A57&gt;=1,A57&lt;='Scenarios_10'!B8),MAX(0,(MAX(0,'Scenarios_10'!D8-'Scenarios_10'!E8/'Scenarios_10'!B8))-IF(AND(A57&gt;'Scenarios_10'!B8-4,A57&lt;='Scenarios_10'!B8),'Scenarios_10'!F8,0)),0)</f>
        <v>2295454.0</v>
      </c>
      <c r="I57" s="5">
        <f>IF(A57=0,'Scenarios_10'!E8,0)</f>
        <v>0.0</v>
      </c>
      <c r="J57" s="5">
        <f>IF(A57=0,0,IF('Scenarios_10'!C8="uniform_pct",INDEX('Inputs_Data_Raw'!E:E,5+A57)*(1-MIN('Scenarios_10'!G8,'Assumptions'!B9)),IF('Scenarios_10'!C8="electricity_only_pct",INDEX('Inputs_Data_Raw'!C:C,5+A57)*(1-MIN('Scenarios_10'!G8,'Assumptions'!B9))+INDEX('Inputs_Data_Raw'!D:D,5+A57),INDEX('Inputs_Data_Raw'!D:D,5+A57)*(1-AVERAGE('Assumptions'!B5,'Assumptions'!B6,'Assumptions'!B7,'Assumptions'!B8)))))</f>
        <v>1021200.0</v>
      </c>
      <c r="K57" s="5">
        <f>G57+H57+I57-J57</f>
        <v>1274254.0</v>
      </c>
      <c r="L57" s="5">
        <f>L56+K57</f>
        <v>4106124.0</v>
      </c>
    </row>
    <row r="58" spans="1:12">
      <c r="A58" s="8">
        <v>7</v>
      </c>
      <c r="B58" s="5">
        <f>IF(A58=0,-'Inputs_Data_Raw'!H5,0)</f>
        <v>0.0</v>
      </c>
      <c r="C58" s="5">
        <f>IF(A58=0,0,INDEX('Inputs_Data_Raw'!B:B, 5+A58))</f>
        <v>2342300.0</v>
      </c>
      <c r="D58" s="5">
        <f>IF(A58=0,0,INDEX('Inputs_Data_Raw'!E:E, 5+A58))</f>
        <v>1638000.0</v>
      </c>
      <c r="E58" s="5">
        <f>B58+C58-D58</f>
        <v>704300.0</v>
      </c>
      <c r="F58" s="5">
        <f>F57+E58</f>
        <v>1390700.0</v>
      </c>
      <c r="G58" s="5">
        <f>IF(A58=0,-'Inputs_Data_Raw'!H5,0)</f>
        <v>0.0</v>
      </c>
      <c r="H58" s="5">
        <f>IF(AND(A58&gt;=1,A58&lt;='Scenarios_10'!B8),MAX(0,(MAX(0,'Scenarios_10'!D8-'Scenarios_10'!E8/'Scenarios_10'!B8))-IF(AND(A58&gt;'Scenarios_10'!B8-4,A58&lt;='Scenarios_10'!B8),'Scenarios_10'!F8,0)),0)</f>
        <v>2295454.0</v>
      </c>
      <c r="I58" s="5">
        <f>IF(A58=0,'Scenarios_10'!E8,0)</f>
        <v>0.0</v>
      </c>
      <c r="J58" s="5">
        <f>IF(A58=0,0,IF('Scenarios_10'!C8="uniform_pct",INDEX('Inputs_Data_Raw'!E:E,5+A58)*(1-MIN('Scenarios_10'!G8,'Assumptions'!B9)),IF('Scenarios_10'!C8="electricity_only_pct",INDEX('Inputs_Data_Raw'!C:C,5+A58)*(1-MIN('Scenarios_10'!G8,'Assumptions'!B9))+INDEX('Inputs_Data_Raw'!D:D,5+A58),INDEX('Inputs_Data_Raw'!D:D,5+A58)*(1-AVERAGE('Assumptions'!B5,'Assumptions'!B6,'Assumptions'!B7,'Assumptions'!B8)))))</f>
        <v>1021200.0</v>
      </c>
      <c r="K58" s="5">
        <f>G58+H58+I58-J58</f>
        <v>1274254.0</v>
      </c>
      <c r="L58" s="5">
        <f>L57+K58</f>
        <v>5380378.0</v>
      </c>
    </row>
    <row r="59" spans="1:12">
      <c r="A59" s="8">
        <v>8</v>
      </c>
      <c r="B59" s="5">
        <f>IF(A59=0,-'Inputs_Data_Raw'!H5,0)</f>
        <v>0.0</v>
      </c>
      <c r="C59" s="5">
        <f>IF(A59=0,0,INDEX('Inputs_Data_Raw'!B:B, 5+A59))</f>
        <v>2342300.0</v>
      </c>
      <c r="D59" s="5">
        <f>IF(A59=0,0,INDEX('Inputs_Data_Raw'!E:E, 5+A59))</f>
        <v>1638000.0</v>
      </c>
      <c r="E59" s="5">
        <f>B59+C59-D59</f>
        <v>704300.0</v>
      </c>
      <c r="F59" s="5">
        <f>F58+E59</f>
        <v>2095000.0</v>
      </c>
      <c r="G59" s="5">
        <f>IF(A59=0,-'Inputs_Data_Raw'!H5,0)</f>
        <v>0.0</v>
      </c>
      <c r="H59" s="5">
        <f>IF(AND(A59&gt;=1,A59&lt;='Scenarios_10'!B8),MAX(0,(MAX(0,'Scenarios_10'!D8-'Scenarios_10'!E8/'Scenarios_10'!B8))-IF(AND(A59&gt;'Scenarios_10'!B8-4,A59&lt;='Scenarios_10'!B8),'Scenarios_10'!F8,0)),0)</f>
        <v>2295454.0</v>
      </c>
      <c r="I59" s="5">
        <f>IF(A59=0,'Scenarios_10'!E8,0)</f>
        <v>0.0</v>
      </c>
      <c r="J59" s="5">
        <f>IF(A59=0,0,IF('Scenarios_10'!C8="uniform_pct",INDEX('Inputs_Data_Raw'!E:E,5+A59)*(1-MIN('Scenarios_10'!G8,'Assumptions'!B9)),IF('Scenarios_10'!C8="electricity_only_pct",INDEX('Inputs_Data_Raw'!C:C,5+A59)*(1-MIN('Scenarios_10'!G8,'Assumptions'!B9))+INDEX('Inputs_Data_Raw'!D:D,5+A59),INDEX('Inputs_Data_Raw'!D:D,5+A59)*(1-AVERAGE('Assumptions'!B5,'Assumptions'!B6,'Assumptions'!B7,'Assumptions'!B8)))))</f>
        <v>1021200.0</v>
      </c>
      <c r="K59" s="5">
        <f>G59+H59+I59-J59</f>
        <v>1274254.0</v>
      </c>
      <c r="L59" s="5">
        <f>L58+K59</f>
        <v>6654632.0</v>
      </c>
    </row>
    <row r="60" spans="1:12">
      <c r="A60" s="8">
        <v>9</v>
      </c>
      <c r="B60" s="5">
        <f>IF(A60=0,-'Inputs_Data_Raw'!H5,0)</f>
        <v>0.0</v>
      </c>
      <c r="C60" s="5">
        <f>IF(A60=0,0,INDEX('Inputs_Data_Raw'!B:B, 5+A60))</f>
        <v>2342300.0</v>
      </c>
      <c r="D60" s="5">
        <f>IF(A60=0,0,INDEX('Inputs_Data_Raw'!E:E, 5+A60))</f>
        <v>1638000.0</v>
      </c>
      <c r="E60" s="5">
        <f>B60+C60-D60</f>
        <v>704300.0</v>
      </c>
      <c r="F60" s="5">
        <f>F59+E60</f>
        <v>2799300.0</v>
      </c>
      <c r="G60" s="5">
        <f>IF(A60=0,-'Inputs_Data_Raw'!H5,0)</f>
        <v>0.0</v>
      </c>
      <c r="H60" s="5">
        <f>IF(AND(A60&gt;=1,A60&lt;='Scenarios_10'!B8),MAX(0,(MAX(0,'Scenarios_10'!D8-'Scenarios_10'!E8/'Scenarios_10'!B8))-IF(AND(A60&gt;'Scenarios_10'!B8-4,A60&lt;='Scenarios_10'!B8),'Scenarios_10'!F8,0)),0)</f>
        <v>2295454.0</v>
      </c>
      <c r="I60" s="5">
        <f>IF(A60=0,'Scenarios_10'!E8,0)</f>
        <v>0.0</v>
      </c>
      <c r="J60" s="5">
        <f>IF(A60=0,0,IF('Scenarios_10'!C8="uniform_pct",INDEX('Inputs_Data_Raw'!E:E,5+A60)*(1-MIN('Scenarios_10'!G8,'Assumptions'!B9)),IF('Scenarios_10'!C8="electricity_only_pct",INDEX('Inputs_Data_Raw'!C:C,5+A60)*(1-MIN('Scenarios_10'!G8,'Assumptions'!B9))+INDEX('Inputs_Data_Raw'!D:D,5+A60),INDEX('Inputs_Data_Raw'!D:D,5+A60)*(1-AVERAGE('Assumptions'!B5,'Assumptions'!B6,'Assumptions'!B7,'Assumptions'!B8)))))</f>
        <v>1021200.0</v>
      </c>
      <c r="K60" s="5">
        <f>G60+H60+I60-J60</f>
        <v>1274254.0</v>
      </c>
      <c r="L60" s="5">
        <f>L59+K60</f>
        <v>7928886.0</v>
      </c>
    </row>
    <row r="61" spans="1:12">
      <c r="A61" s="8">
        <v>10</v>
      </c>
      <c r="B61" s="5">
        <f>IF(A61=0,-'Inputs_Data_Raw'!H5,0)</f>
        <v>0.0</v>
      </c>
      <c r="C61" s="5">
        <f>IF(A61=0,0,INDEX('Inputs_Data_Raw'!B:B, 5+A61))</f>
        <v>2342300.0</v>
      </c>
      <c r="D61" s="5">
        <f>IF(A61=0,0,INDEX('Inputs_Data_Raw'!E:E, 5+A61))</f>
        <v>1638000.0</v>
      </c>
      <c r="E61" s="5">
        <f>B61+C61-D61</f>
        <v>704300.0</v>
      </c>
      <c r="F61" s="5">
        <f>F60+E61</f>
        <v>3503600.0</v>
      </c>
      <c r="G61" s="5">
        <f>IF(A61=0,-'Inputs_Data_Raw'!H5,0)</f>
        <v>0.0</v>
      </c>
      <c r="H61" s="5">
        <f>IF(AND(A61&gt;=1,A61&lt;='Scenarios_10'!B8),MAX(0,(MAX(0,'Scenarios_10'!D8-'Scenarios_10'!E8/'Scenarios_10'!B8))-IF(AND(A61&gt;'Scenarios_10'!B8-4,A61&lt;='Scenarios_10'!B8),'Scenarios_10'!F8,0)),0)</f>
        <v>2295454.0</v>
      </c>
      <c r="I61" s="5">
        <f>IF(A61=0,'Scenarios_10'!E8,0)</f>
        <v>0.0</v>
      </c>
      <c r="J61" s="5">
        <f>IF(A61=0,0,IF('Scenarios_10'!C8="uniform_pct",INDEX('Inputs_Data_Raw'!E:E,5+A61)*(1-MIN('Scenarios_10'!G8,'Assumptions'!B9)),IF('Scenarios_10'!C8="electricity_only_pct",INDEX('Inputs_Data_Raw'!C:C,5+A61)*(1-MIN('Scenarios_10'!G8,'Assumptions'!B9))+INDEX('Inputs_Data_Raw'!D:D,5+A61),INDEX('Inputs_Data_Raw'!D:D,5+A61)*(1-AVERAGE('Assumptions'!B5,'Assumptions'!B6,'Assumptions'!B7,'Assumptions'!B8)))))</f>
        <v>1021200.0</v>
      </c>
      <c r="K61" s="5">
        <f>G61+H61+I61-J61</f>
        <v>1274254.0</v>
      </c>
      <c r="L61" s="5">
        <f>L60+K61</f>
        <v>9203140.0</v>
      </c>
    </row>
    <row r="64" spans="1:12">
      <c r="A64" s="3" t="s">
        <v>105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6" t="s">
        <v>90</v>
      </c>
      <c r="B65" s="6" t="s">
        <v>91</v>
      </c>
      <c r="C65" s="6" t="s">
        <v>92</v>
      </c>
      <c r="D65" s="6" t="s">
        <v>93</v>
      </c>
      <c r="E65" s="6" t="s">
        <v>94</v>
      </c>
      <c r="F65" s="6" t="s">
        <v>95</v>
      </c>
      <c r="G65" s="6" t="s">
        <v>96</v>
      </c>
      <c r="H65" s="6" t="s">
        <v>97</v>
      </c>
      <c r="I65" s="6" t="s">
        <v>98</v>
      </c>
      <c r="J65" s="6" t="s">
        <v>99</v>
      </c>
      <c r="K65" s="6" t="s">
        <v>100</v>
      </c>
      <c r="L65" s="6" t="s">
        <v>101</v>
      </c>
    </row>
    <row r="66" spans="1:12">
      <c r="A66" s="8">
        <v>0</v>
      </c>
      <c r="B66" s="5">
        <f>IF(A66=0,-'Inputs_Data_Raw'!H5,0)</f>
        <v>-3539400.0</v>
      </c>
      <c r="C66" s="5">
        <f>IF(A66=0,0,INDEX('Inputs_Data_Raw'!B:B, 5+A66))</f>
        <v>0.0</v>
      </c>
      <c r="D66" s="5">
        <f>IF(A66=0,0,INDEX('Inputs_Data_Raw'!E:E, 5+A66))</f>
        <v>0.0</v>
      </c>
      <c r="E66" s="5">
        <f>B66+C66-D66</f>
        <v>-3539400.0</v>
      </c>
      <c r="F66" s="5">
        <f>E66</f>
        <v>-3539400.0</v>
      </c>
      <c r="G66" s="5">
        <f>IF(A66=0,-'Inputs_Data_Raw'!H5,0)</f>
        <v>-3539400.0</v>
      </c>
      <c r="H66" s="5">
        <f>IF(AND(A66&gt;=1,A66&lt;='Scenarios_10'!B9),MAX(0,(MAX(0,'Scenarios_10'!D9-'Scenarios_10'!E9/'Scenarios_10'!B9))-IF(AND(A66&gt;'Scenarios_10'!B9-4,A66&lt;='Scenarios_10'!B9),'Scenarios_10'!F9,0)),0)</f>
        <v>0.0</v>
      </c>
      <c r="I66" s="5">
        <f>IF(A66=0,'Scenarios_10'!E9,0)</f>
        <v>0.0</v>
      </c>
      <c r="J66" s="5">
        <f>IF(A66=0,0,IF('Scenarios_10'!C9="uniform_pct",INDEX('Inputs_Data_Raw'!E:E,5+A66)*(1-MIN('Scenarios_10'!G9,'Assumptions'!B9)),IF('Scenarios_10'!C9="electricity_only_pct",INDEX('Inputs_Data_Raw'!C:C,5+A66)*(1-MIN('Scenarios_10'!G9,'Assumptions'!B9))+INDEX('Inputs_Data_Raw'!D:D,5+A66),INDEX('Inputs_Data_Raw'!D:D,5+A66)*(1-AVERAGE('Assumptions'!B5,'Assumptions'!B6,'Assumptions'!B7,'Assumptions'!B8)))))</f>
        <v>0.0</v>
      </c>
      <c r="K66" s="5">
        <f>G66+H66+I66-J66</f>
        <v>-3539400.0</v>
      </c>
      <c r="L66" s="5">
        <f>K66</f>
        <v>-3539400.0</v>
      </c>
    </row>
    <row r="67" spans="1:12">
      <c r="A67" s="8">
        <v>1</v>
      </c>
      <c r="B67" s="5">
        <f>IF(A67=0,-'Inputs_Data_Raw'!H5,0)</f>
        <v>0.0</v>
      </c>
      <c r="C67" s="5">
        <f>IF(A67=0,0,INDEX('Inputs_Data_Raw'!B:B, 5+A67))</f>
        <v>2342300.0</v>
      </c>
      <c r="D67" s="5">
        <f>IF(A67=0,0,INDEX('Inputs_Data_Raw'!E:E, 5+A67))</f>
        <v>1638000.0</v>
      </c>
      <c r="E67" s="5">
        <f>B67+C67-D67</f>
        <v>704300.0</v>
      </c>
      <c r="F67" s="5">
        <f>F66+E67</f>
        <v>-2835100.0</v>
      </c>
      <c r="G67" s="5">
        <f>IF(A67=0,-'Inputs_Data_Raw'!H5,0)</f>
        <v>0.0</v>
      </c>
      <c r="H67" s="5">
        <f>IF(AND(A67&gt;=1,A67&lt;='Scenarios_10'!B9),MAX(0,(MAX(0,'Scenarios_10'!D9-'Scenarios_10'!E9/'Scenarios_10'!B9))-IF(AND(A67&gt;'Scenarios_10'!B9-4,A67&lt;='Scenarios_10'!B9),'Scenarios_10'!F9,0)),0)</f>
        <v>2459415.0</v>
      </c>
      <c r="I67" s="5">
        <f>IF(A67=0,'Scenarios_10'!E9,0)</f>
        <v>0.0</v>
      </c>
      <c r="J67" s="5">
        <f>IF(A67=0,0,IF('Scenarios_10'!C9="uniform_pct",INDEX('Inputs_Data_Raw'!E:E,5+A67)*(1-MIN('Scenarios_10'!G9,'Assumptions'!B9)),IF('Scenarios_10'!C9="electricity_only_pct",INDEX('Inputs_Data_Raw'!C:C,5+A67)*(1-MIN('Scenarios_10'!G9,'Assumptions'!B9))+INDEX('Inputs_Data_Raw'!D:D,5+A67),INDEX('Inputs_Data_Raw'!D:D,5+A67)*(1-AVERAGE('Assumptions'!B5,'Assumptions'!B6,'Assumptions'!B7,'Assumptions'!B8)))))</f>
        <v>472750.0</v>
      </c>
      <c r="K67" s="5">
        <f>G67+H67+I67-J67</f>
        <v>1986665.0</v>
      </c>
      <c r="L67" s="5">
        <f>L66+K67</f>
        <v>-1552735.0</v>
      </c>
    </row>
    <row r="68" spans="1:12">
      <c r="A68" s="8">
        <v>2</v>
      </c>
      <c r="B68" s="5">
        <f>IF(A68=0,-'Inputs_Data_Raw'!H5,0)</f>
        <v>0.0</v>
      </c>
      <c r="C68" s="5">
        <f>IF(A68=0,0,INDEX('Inputs_Data_Raw'!B:B, 5+A68))</f>
        <v>2342300.0</v>
      </c>
      <c r="D68" s="5">
        <f>IF(A68=0,0,INDEX('Inputs_Data_Raw'!E:E, 5+A68))</f>
        <v>1638000.0</v>
      </c>
      <c r="E68" s="5">
        <f>B68+C68-D68</f>
        <v>704300.0</v>
      </c>
      <c r="F68" s="5">
        <f>F67+E68</f>
        <v>-2130800.0</v>
      </c>
      <c r="G68" s="5">
        <f>IF(A68=0,-'Inputs_Data_Raw'!H5,0)</f>
        <v>0.0</v>
      </c>
      <c r="H68" s="5">
        <f>IF(AND(A68&gt;=1,A68&lt;='Scenarios_10'!B9),MAX(0,(MAX(0,'Scenarios_10'!D9-'Scenarios_10'!E9/'Scenarios_10'!B9))-IF(AND(A68&gt;'Scenarios_10'!B9-4,A68&lt;='Scenarios_10'!B9),'Scenarios_10'!F9,0)),0)</f>
        <v>2459415.0</v>
      </c>
      <c r="I68" s="5">
        <f>IF(A68=0,'Scenarios_10'!E9,0)</f>
        <v>0.0</v>
      </c>
      <c r="J68" s="5">
        <f>IF(A68=0,0,IF('Scenarios_10'!C9="uniform_pct",INDEX('Inputs_Data_Raw'!E:E,5+A68)*(1-MIN('Scenarios_10'!G9,'Assumptions'!B9)),IF('Scenarios_10'!C9="electricity_only_pct",INDEX('Inputs_Data_Raw'!C:C,5+A68)*(1-MIN('Scenarios_10'!G9,'Assumptions'!B9))+INDEX('Inputs_Data_Raw'!D:D,5+A68),INDEX('Inputs_Data_Raw'!D:D,5+A68)*(1-AVERAGE('Assumptions'!B5,'Assumptions'!B6,'Assumptions'!B7,'Assumptions'!B8)))))</f>
        <v>472750.0</v>
      </c>
      <c r="K68" s="5">
        <f>G68+H68+I68-J68</f>
        <v>1986665.0</v>
      </c>
      <c r="L68" s="5">
        <f>L67+K68</f>
        <v>433930.0</v>
      </c>
    </row>
    <row r="69" spans="1:12">
      <c r="A69" s="8">
        <v>3</v>
      </c>
      <c r="B69" s="5">
        <f>IF(A69=0,-'Inputs_Data_Raw'!H5,0)</f>
        <v>0.0</v>
      </c>
      <c r="C69" s="5">
        <f>IF(A69=0,0,INDEX('Inputs_Data_Raw'!B:B, 5+A69))</f>
        <v>2342300.0</v>
      </c>
      <c r="D69" s="5">
        <f>IF(A69=0,0,INDEX('Inputs_Data_Raw'!E:E, 5+A69))</f>
        <v>1638000.0</v>
      </c>
      <c r="E69" s="5">
        <f>B69+C69-D69</f>
        <v>704300.0</v>
      </c>
      <c r="F69" s="5">
        <f>F68+E69</f>
        <v>-1426500.0</v>
      </c>
      <c r="G69" s="5">
        <f>IF(A69=0,-'Inputs_Data_Raw'!H5,0)</f>
        <v>0.0</v>
      </c>
      <c r="H69" s="5">
        <f>IF(AND(A69&gt;=1,A69&lt;='Scenarios_10'!B9),MAX(0,(MAX(0,'Scenarios_10'!D9-'Scenarios_10'!E9/'Scenarios_10'!B9))-IF(AND(A69&gt;'Scenarios_10'!B9-4,A69&lt;='Scenarios_10'!B9),'Scenarios_10'!F9,0)),0)</f>
        <v>2459415.0</v>
      </c>
      <c r="I69" s="5">
        <f>IF(A69=0,'Scenarios_10'!E9,0)</f>
        <v>0.0</v>
      </c>
      <c r="J69" s="5">
        <f>IF(A69=0,0,IF('Scenarios_10'!C9="uniform_pct",INDEX('Inputs_Data_Raw'!E:E,5+A69)*(1-MIN('Scenarios_10'!G9,'Assumptions'!B9)),IF('Scenarios_10'!C9="electricity_only_pct",INDEX('Inputs_Data_Raw'!C:C,5+A69)*(1-MIN('Scenarios_10'!G9,'Assumptions'!B9))+INDEX('Inputs_Data_Raw'!D:D,5+A69),INDEX('Inputs_Data_Raw'!D:D,5+A69)*(1-AVERAGE('Assumptions'!B5,'Assumptions'!B6,'Assumptions'!B7,'Assumptions'!B8)))))</f>
        <v>472750.0</v>
      </c>
      <c r="K69" s="5">
        <f>G69+H69+I69-J69</f>
        <v>1986665.0</v>
      </c>
      <c r="L69" s="5">
        <f>L68+K69</f>
        <v>2420595.0</v>
      </c>
    </row>
    <row r="70" spans="1:12">
      <c r="A70" s="8">
        <v>4</v>
      </c>
      <c r="B70" s="5">
        <f>IF(A70=0,-'Inputs_Data_Raw'!H5,0)</f>
        <v>0.0</v>
      </c>
      <c r="C70" s="5">
        <f>IF(A70=0,0,INDEX('Inputs_Data_Raw'!B:B, 5+A70))</f>
        <v>2342300.0</v>
      </c>
      <c r="D70" s="5">
        <f>IF(A70=0,0,INDEX('Inputs_Data_Raw'!E:E, 5+A70))</f>
        <v>1638000.0</v>
      </c>
      <c r="E70" s="5">
        <f>B70+C70-D70</f>
        <v>704300.0</v>
      </c>
      <c r="F70" s="5">
        <f>F69+E70</f>
        <v>-722200.0</v>
      </c>
      <c r="G70" s="5">
        <f>IF(A70=0,-'Inputs_Data_Raw'!H5,0)</f>
        <v>0.0</v>
      </c>
      <c r="H70" s="5">
        <f>IF(AND(A70&gt;=1,A70&lt;='Scenarios_10'!B9),MAX(0,(MAX(0,'Scenarios_10'!D9-'Scenarios_10'!E9/'Scenarios_10'!B9))-IF(AND(A70&gt;'Scenarios_10'!B9-4,A70&lt;='Scenarios_10'!B9),'Scenarios_10'!F9,0)),0)</f>
        <v>2459415.0</v>
      </c>
      <c r="I70" s="5">
        <f>IF(A70=0,'Scenarios_10'!E9,0)</f>
        <v>0.0</v>
      </c>
      <c r="J70" s="5">
        <f>IF(A70=0,0,IF('Scenarios_10'!C9="uniform_pct",INDEX('Inputs_Data_Raw'!E:E,5+A70)*(1-MIN('Scenarios_10'!G9,'Assumptions'!B9)),IF('Scenarios_10'!C9="electricity_only_pct",INDEX('Inputs_Data_Raw'!C:C,5+A70)*(1-MIN('Scenarios_10'!G9,'Assumptions'!B9))+INDEX('Inputs_Data_Raw'!D:D,5+A70),INDEX('Inputs_Data_Raw'!D:D,5+A70)*(1-AVERAGE('Assumptions'!B5,'Assumptions'!B6,'Assumptions'!B7,'Assumptions'!B8)))))</f>
        <v>472750.0</v>
      </c>
      <c r="K70" s="5">
        <f>G70+H70+I70-J70</f>
        <v>1986665.0</v>
      </c>
      <c r="L70" s="5">
        <f>L69+K70</f>
        <v>4407260.0</v>
      </c>
    </row>
    <row r="71" spans="1:12">
      <c r="A71" s="8">
        <v>5</v>
      </c>
      <c r="B71" s="5">
        <f>IF(A71=0,-'Inputs_Data_Raw'!H5,0)</f>
        <v>0.0</v>
      </c>
      <c r="C71" s="5">
        <f>IF(A71=0,0,INDEX('Inputs_Data_Raw'!B:B, 5+A71))</f>
        <v>2342300.0</v>
      </c>
      <c r="D71" s="5">
        <f>IF(A71=0,0,INDEX('Inputs_Data_Raw'!E:E, 5+A71))</f>
        <v>1638000.0</v>
      </c>
      <c r="E71" s="5">
        <f>B71+C71-D71</f>
        <v>704300.0</v>
      </c>
      <c r="F71" s="5">
        <f>F70+E71</f>
        <v>-17900.0</v>
      </c>
      <c r="G71" s="5">
        <f>IF(A71=0,-'Inputs_Data_Raw'!H5,0)</f>
        <v>0.0</v>
      </c>
      <c r="H71" s="5">
        <f>IF(AND(A71&gt;=1,A71&lt;='Scenarios_10'!B9),MAX(0,(MAX(0,'Scenarios_10'!D9-'Scenarios_10'!E9/'Scenarios_10'!B9))-IF(AND(A71&gt;'Scenarios_10'!B9-4,A71&lt;='Scenarios_10'!B9),'Scenarios_10'!F9,0)),0)</f>
        <v>2459415.0</v>
      </c>
      <c r="I71" s="5">
        <f>IF(A71=0,'Scenarios_10'!E9,0)</f>
        <v>0.0</v>
      </c>
      <c r="J71" s="5">
        <f>IF(A71=0,0,IF('Scenarios_10'!C9="uniform_pct",INDEX('Inputs_Data_Raw'!E:E,5+A71)*(1-MIN('Scenarios_10'!G9,'Assumptions'!B9)),IF('Scenarios_10'!C9="electricity_only_pct",INDEX('Inputs_Data_Raw'!C:C,5+A71)*(1-MIN('Scenarios_10'!G9,'Assumptions'!B9))+INDEX('Inputs_Data_Raw'!D:D,5+A71),INDEX('Inputs_Data_Raw'!D:D,5+A71)*(1-AVERAGE('Assumptions'!B5,'Assumptions'!B6,'Assumptions'!B7,'Assumptions'!B8)))))</f>
        <v>472750.0</v>
      </c>
      <c r="K71" s="5">
        <f>G71+H71+I71-J71</f>
        <v>1986665.0</v>
      </c>
      <c r="L71" s="5">
        <f>L70+K71</f>
        <v>6393925.0</v>
      </c>
    </row>
    <row r="72" spans="1:12">
      <c r="A72" s="8">
        <v>6</v>
      </c>
      <c r="B72" s="5">
        <f>IF(A72=0,-'Inputs_Data_Raw'!H5,0)</f>
        <v>0.0</v>
      </c>
      <c r="C72" s="5">
        <f>IF(A72=0,0,INDEX('Inputs_Data_Raw'!B:B, 5+A72))</f>
        <v>2342300.0</v>
      </c>
      <c r="D72" s="5">
        <f>IF(A72=0,0,INDEX('Inputs_Data_Raw'!E:E, 5+A72))</f>
        <v>1638000.0</v>
      </c>
      <c r="E72" s="5">
        <f>B72+C72-D72</f>
        <v>704300.0</v>
      </c>
      <c r="F72" s="5">
        <f>F71+E72</f>
        <v>686400.0</v>
      </c>
      <c r="G72" s="5">
        <f>IF(A72=0,-'Inputs_Data_Raw'!H5,0)</f>
        <v>0.0</v>
      </c>
      <c r="H72" s="5">
        <f>IF(AND(A72&gt;=1,A72&lt;='Scenarios_10'!B9),MAX(0,(MAX(0,'Scenarios_10'!D9-'Scenarios_10'!E9/'Scenarios_10'!B9))-IF(AND(A72&gt;'Scenarios_10'!B9-4,A72&lt;='Scenarios_10'!B9),'Scenarios_10'!F9,0)),0)</f>
        <v>2459415.0</v>
      </c>
      <c r="I72" s="5">
        <f>IF(A72=0,'Scenarios_10'!E9,0)</f>
        <v>0.0</v>
      </c>
      <c r="J72" s="5">
        <f>IF(A72=0,0,IF('Scenarios_10'!C9="uniform_pct",INDEX('Inputs_Data_Raw'!E:E,5+A72)*(1-MIN('Scenarios_10'!G9,'Assumptions'!B9)),IF('Scenarios_10'!C9="electricity_only_pct",INDEX('Inputs_Data_Raw'!C:C,5+A72)*(1-MIN('Scenarios_10'!G9,'Assumptions'!B9))+INDEX('Inputs_Data_Raw'!D:D,5+A72),INDEX('Inputs_Data_Raw'!D:D,5+A72)*(1-AVERAGE('Assumptions'!B5,'Assumptions'!B6,'Assumptions'!B7,'Assumptions'!B8)))))</f>
        <v>472750.0</v>
      </c>
      <c r="K72" s="5">
        <f>G72+H72+I72-J72</f>
        <v>1986665.0</v>
      </c>
      <c r="L72" s="5">
        <f>L71+K72</f>
        <v>8380590.0</v>
      </c>
    </row>
    <row r="73" spans="1:12">
      <c r="A73" s="8">
        <v>7</v>
      </c>
      <c r="B73" s="5">
        <f>IF(A73=0,-'Inputs_Data_Raw'!H5,0)</f>
        <v>0.0</v>
      </c>
      <c r="C73" s="5">
        <f>IF(A73=0,0,INDEX('Inputs_Data_Raw'!B:B, 5+A73))</f>
        <v>2342300.0</v>
      </c>
      <c r="D73" s="5">
        <f>IF(A73=0,0,INDEX('Inputs_Data_Raw'!E:E, 5+A73))</f>
        <v>1638000.0</v>
      </c>
      <c r="E73" s="5">
        <f>B73+C73-D73</f>
        <v>704300.0</v>
      </c>
      <c r="F73" s="5">
        <f>F72+E73</f>
        <v>1390700.0</v>
      </c>
      <c r="G73" s="5">
        <f>IF(A73=0,-'Inputs_Data_Raw'!H5,0)</f>
        <v>0.0</v>
      </c>
      <c r="H73" s="5">
        <f>IF(AND(A73&gt;=1,A73&lt;='Scenarios_10'!B9),MAX(0,(MAX(0,'Scenarios_10'!D9-'Scenarios_10'!E9/'Scenarios_10'!B9))-IF(AND(A73&gt;'Scenarios_10'!B9-4,A73&lt;='Scenarios_10'!B9),'Scenarios_10'!F9,0)),0)</f>
        <v>2459415.0</v>
      </c>
      <c r="I73" s="5">
        <f>IF(A73=0,'Scenarios_10'!E9,0)</f>
        <v>0.0</v>
      </c>
      <c r="J73" s="5">
        <f>IF(A73=0,0,IF('Scenarios_10'!C9="uniform_pct",INDEX('Inputs_Data_Raw'!E:E,5+A73)*(1-MIN('Scenarios_10'!G9,'Assumptions'!B9)),IF('Scenarios_10'!C9="electricity_only_pct",INDEX('Inputs_Data_Raw'!C:C,5+A73)*(1-MIN('Scenarios_10'!G9,'Assumptions'!B9))+INDEX('Inputs_Data_Raw'!D:D,5+A73),INDEX('Inputs_Data_Raw'!D:D,5+A73)*(1-AVERAGE('Assumptions'!B5,'Assumptions'!B6,'Assumptions'!B7,'Assumptions'!B8)))))</f>
        <v>472750.0</v>
      </c>
      <c r="K73" s="5">
        <f>G73+H73+I73-J73</f>
        <v>1986665.0</v>
      </c>
      <c r="L73" s="5">
        <f>L72+K73</f>
        <v>10367255.0</v>
      </c>
    </row>
    <row r="74" spans="1:12">
      <c r="A74" s="8">
        <v>8</v>
      </c>
      <c r="B74" s="5">
        <f>IF(A74=0,-'Inputs_Data_Raw'!H5,0)</f>
        <v>0.0</v>
      </c>
      <c r="C74" s="5">
        <f>IF(A74=0,0,INDEX('Inputs_Data_Raw'!B:B, 5+A74))</f>
        <v>2342300.0</v>
      </c>
      <c r="D74" s="5">
        <f>IF(A74=0,0,INDEX('Inputs_Data_Raw'!E:E, 5+A74))</f>
        <v>1638000.0</v>
      </c>
      <c r="E74" s="5">
        <f>B74+C74-D74</f>
        <v>704300.0</v>
      </c>
      <c r="F74" s="5">
        <f>F73+E74</f>
        <v>2095000.0</v>
      </c>
      <c r="G74" s="5">
        <f>IF(A74=0,-'Inputs_Data_Raw'!H5,0)</f>
        <v>0.0</v>
      </c>
      <c r="H74" s="5">
        <f>IF(AND(A74&gt;=1,A74&lt;='Scenarios_10'!B9),MAX(0,(MAX(0,'Scenarios_10'!D9-'Scenarios_10'!E9/'Scenarios_10'!B9))-IF(AND(A74&gt;'Scenarios_10'!B9-4,A74&lt;='Scenarios_10'!B9),'Scenarios_10'!F9,0)),0)</f>
        <v>2459415.0</v>
      </c>
      <c r="I74" s="5">
        <f>IF(A74=0,'Scenarios_10'!E9,0)</f>
        <v>0.0</v>
      </c>
      <c r="J74" s="5">
        <f>IF(A74=0,0,IF('Scenarios_10'!C9="uniform_pct",INDEX('Inputs_Data_Raw'!E:E,5+A74)*(1-MIN('Scenarios_10'!G9,'Assumptions'!B9)),IF('Scenarios_10'!C9="electricity_only_pct",INDEX('Inputs_Data_Raw'!C:C,5+A74)*(1-MIN('Scenarios_10'!G9,'Assumptions'!B9))+INDEX('Inputs_Data_Raw'!D:D,5+A74),INDEX('Inputs_Data_Raw'!D:D,5+A74)*(1-AVERAGE('Assumptions'!B5,'Assumptions'!B6,'Assumptions'!B7,'Assumptions'!B8)))))</f>
        <v>472750.0</v>
      </c>
      <c r="K74" s="5">
        <f>G74+H74+I74-J74</f>
        <v>1986665.0</v>
      </c>
      <c r="L74" s="5">
        <f>L73+K74</f>
        <v>12353920.0</v>
      </c>
    </row>
    <row r="75" spans="1:12">
      <c r="A75" s="8">
        <v>9</v>
      </c>
      <c r="B75" s="5">
        <f>IF(A75=0,-'Inputs_Data_Raw'!H5,0)</f>
        <v>0.0</v>
      </c>
      <c r="C75" s="5">
        <f>IF(A75=0,0,INDEX('Inputs_Data_Raw'!B:B, 5+A75))</f>
        <v>2342300.0</v>
      </c>
      <c r="D75" s="5">
        <f>IF(A75=0,0,INDEX('Inputs_Data_Raw'!E:E, 5+A75))</f>
        <v>1638000.0</v>
      </c>
      <c r="E75" s="5">
        <f>B75+C75-D75</f>
        <v>704300.0</v>
      </c>
      <c r="F75" s="5">
        <f>F74+E75</f>
        <v>2799300.0</v>
      </c>
      <c r="G75" s="5">
        <f>IF(A75=0,-'Inputs_Data_Raw'!H5,0)</f>
        <v>0.0</v>
      </c>
      <c r="H75" s="5">
        <f>IF(AND(A75&gt;=1,A75&lt;='Scenarios_10'!B9),MAX(0,(MAX(0,'Scenarios_10'!D9-'Scenarios_10'!E9/'Scenarios_10'!B9))-IF(AND(A75&gt;'Scenarios_10'!B9-4,A75&lt;='Scenarios_10'!B9),'Scenarios_10'!F9,0)),0)</f>
        <v>2459415.0</v>
      </c>
      <c r="I75" s="5">
        <f>IF(A75=0,'Scenarios_10'!E9,0)</f>
        <v>0.0</v>
      </c>
      <c r="J75" s="5">
        <f>IF(A75=0,0,IF('Scenarios_10'!C9="uniform_pct",INDEX('Inputs_Data_Raw'!E:E,5+A75)*(1-MIN('Scenarios_10'!G9,'Assumptions'!B9)),IF('Scenarios_10'!C9="electricity_only_pct",INDEX('Inputs_Data_Raw'!C:C,5+A75)*(1-MIN('Scenarios_10'!G9,'Assumptions'!B9))+INDEX('Inputs_Data_Raw'!D:D,5+A75),INDEX('Inputs_Data_Raw'!D:D,5+A75)*(1-AVERAGE('Assumptions'!B5,'Assumptions'!B6,'Assumptions'!B7,'Assumptions'!B8)))))</f>
        <v>472750.0</v>
      </c>
      <c r="K75" s="5">
        <f>G75+H75+I75-J75</f>
        <v>1986665.0</v>
      </c>
      <c r="L75" s="5">
        <f>L74+K75</f>
        <v>14340585.0</v>
      </c>
    </row>
    <row r="76" spans="1:12">
      <c r="A76" s="8">
        <v>10</v>
      </c>
      <c r="B76" s="5">
        <f>IF(A76=0,-'Inputs_Data_Raw'!H5,0)</f>
        <v>0.0</v>
      </c>
      <c r="C76" s="5">
        <f>IF(A76=0,0,INDEX('Inputs_Data_Raw'!B:B, 5+A76))</f>
        <v>2342300.0</v>
      </c>
      <c r="D76" s="5">
        <f>IF(A76=0,0,INDEX('Inputs_Data_Raw'!E:E, 5+A76))</f>
        <v>1638000.0</v>
      </c>
      <c r="E76" s="5">
        <f>B76+C76-D76</f>
        <v>704300.0</v>
      </c>
      <c r="F76" s="5">
        <f>F75+E76</f>
        <v>3503600.0</v>
      </c>
      <c r="G76" s="5">
        <f>IF(A76=0,-'Inputs_Data_Raw'!H5,0)</f>
        <v>0.0</v>
      </c>
      <c r="H76" s="5">
        <f>IF(AND(A76&gt;=1,A76&lt;='Scenarios_10'!B9),MAX(0,(MAX(0,'Scenarios_10'!D9-'Scenarios_10'!E9/'Scenarios_10'!B9))-IF(AND(A76&gt;'Scenarios_10'!B9-4,A76&lt;='Scenarios_10'!B9),'Scenarios_10'!F9,0)),0)</f>
        <v>2459415.0</v>
      </c>
      <c r="I76" s="5">
        <f>IF(A76=0,'Scenarios_10'!E9,0)</f>
        <v>0.0</v>
      </c>
      <c r="J76" s="5">
        <f>IF(A76=0,0,IF('Scenarios_10'!C9="uniform_pct",INDEX('Inputs_Data_Raw'!E:E,5+A76)*(1-MIN('Scenarios_10'!G9,'Assumptions'!B9)),IF('Scenarios_10'!C9="electricity_only_pct",INDEX('Inputs_Data_Raw'!C:C,5+A76)*(1-MIN('Scenarios_10'!G9,'Assumptions'!B9))+INDEX('Inputs_Data_Raw'!D:D,5+A76),INDEX('Inputs_Data_Raw'!D:D,5+A76)*(1-AVERAGE('Assumptions'!B5,'Assumptions'!B6,'Assumptions'!B7,'Assumptions'!B8)))))</f>
        <v>472750.0</v>
      </c>
      <c r="K76" s="5">
        <f>G76+H76+I76-J76</f>
        <v>1986665.0</v>
      </c>
      <c r="L76" s="5">
        <f>L75+K76</f>
        <v>16327250.0</v>
      </c>
    </row>
    <row r="79" spans="1:12">
      <c r="A79" s="3" t="s">
        <v>106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6" t="s">
        <v>90</v>
      </c>
      <c r="B80" s="6" t="s">
        <v>91</v>
      </c>
      <c r="C80" s="6" t="s">
        <v>92</v>
      </c>
      <c r="D80" s="6" t="s">
        <v>93</v>
      </c>
      <c r="E80" s="6" t="s">
        <v>94</v>
      </c>
      <c r="F80" s="6" t="s">
        <v>95</v>
      </c>
      <c r="G80" s="6" t="s">
        <v>96</v>
      </c>
      <c r="H80" s="6" t="s">
        <v>97</v>
      </c>
      <c r="I80" s="6" t="s">
        <v>98</v>
      </c>
      <c r="J80" s="6" t="s">
        <v>99</v>
      </c>
      <c r="K80" s="6" t="s">
        <v>100</v>
      </c>
      <c r="L80" s="6" t="s">
        <v>101</v>
      </c>
    </row>
    <row r="81" spans="1:12">
      <c r="A81" s="8">
        <v>0</v>
      </c>
      <c r="B81" s="5">
        <f>IF(A81=0,-'Inputs_Data_Raw'!H5,0)</f>
        <v>-3539400.0</v>
      </c>
      <c r="C81" s="5">
        <f>IF(A81=0,0,INDEX('Inputs_Data_Raw'!B:B, 5+A81))</f>
        <v>0.0</v>
      </c>
      <c r="D81" s="5">
        <f>IF(A81=0,0,INDEX('Inputs_Data_Raw'!E:E, 5+A81))</f>
        <v>0.0</v>
      </c>
      <c r="E81" s="5">
        <f>B81+C81-D81</f>
        <v>-3539400.0</v>
      </c>
      <c r="F81" s="5">
        <f>E81</f>
        <v>-3539400.0</v>
      </c>
      <c r="G81" s="5">
        <f>IF(A81=0,-'Inputs_Data_Raw'!H5,0)</f>
        <v>-3539400.0</v>
      </c>
      <c r="H81" s="5">
        <f>IF(AND(A81&gt;=1,A81&lt;='Scenarios_10'!B10),MAX(0,(MAX(0,'Scenarios_10'!D10-'Scenarios_10'!E10/'Scenarios_10'!B10))-IF(AND(A81&gt;'Scenarios_10'!B10-4,A81&lt;='Scenarios_10'!B10),'Scenarios_10'!F10,0)),0)</f>
        <v>0.0</v>
      </c>
      <c r="I81" s="5">
        <f>IF(A81=0,'Scenarios_10'!E10,0)</f>
        <v>1000000.0</v>
      </c>
      <c r="J81" s="5">
        <f>IF(A81=0,0,IF('Scenarios_10'!C10="uniform_pct",INDEX('Inputs_Data_Raw'!E:E,5+A81)*(1-MIN('Scenarios_10'!G10,'Assumptions'!B9)),IF('Scenarios_10'!C10="electricity_only_pct",INDEX('Inputs_Data_Raw'!C:C,5+A81)*(1-MIN('Scenarios_10'!G10,'Assumptions'!B9))+INDEX('Inputs_Data_Raw'!D:D,5+A81),INDEX('Inputs_Data_Raw'!D:D,5+A81)*(1-AVERAGE('Assumptions'!B5,'Assumptions'!B6,'Assumptions'!B7,'Assumptions'!B8)))))</f>
        <v>0.0</v>
      </c>
      <c r="K81" s="5">
        <f>G81+H81+I81-J81</f>
        <v>-2539400.0</v>
      </c>
      <c r="L81" s="5">
        <f>K81</f>
        <v>-2539400.0</v>
      </c>
    </row>
    <row r="82" spans="1:12">
      <c r="A82" s="8">
        <v>1</v>
      </c>
      <c r="B82" s="5">
        <f>IF(A82=0,-'Inputs_Data_Raw'!H5,0)</f>
        <v>0.0</v>
      </c>
      <c r="C82" s="5">
        <f>IF(A82=0,0,INDEX('Inputs_Data_Raw'!B:B, 5+A82))</f>
        <v>2342300.0</v>
      </c>
      <c r="D82" s="5">
        <f>IF(A82=0,0,INDEX('Inputs_Data_Raw'!E:E, 5+A82))</f>
        <v>1638000.0</v>
      </c>
      <c r="E82" s="5">
        <f>B82+C82-D82</f>
        <v>704300.0</v>
      </c>
      <c r="F82" s="5">
        <f>F81+E82</f>
        <v>-2835100.0</v>
      </c>
      <c r="G82" s="5">
        <f>IF(A82=0,-'Inputs_Data_Raw'!H5,0)</f>
        <v>0.0</v>
      </c>
      <c r="H82" s="5">
        <f>IF(AND(A82&gt;=1,A82&lt;='Scenarios_10'!B10),MAX(0,(MAX(0,'Scenarios_10'!D10-'Scenarios_10'!E10/'Scenarios_10'!B10))-IF(AND(A82&gt;'Scenarios_10'!B10-4,A82&lt;='Scenarios_10'!B10),'Scenarios_10'!F10,0)),0)</f>
        <v>2242300.0</v>
      </c>
      <c r="I82" s="5">
        <f>IF(A82=0,'Scenarios_10'!E10,0)</f>
        <v>0.0</v>
      </c>
      <c r="J82" s="5">
        <f>IF(A82=0,0,IF('Scenarios_10'!C10="uniform_pct",INDEX('Inputs_Data_Raw'!E:E,5+A82)*(1-MIN('Scenarios_10'!G10,'Assumptions'!B9)),IF('Scenarios_10'!C10="electricity_only_pct",INDEX('Inputs_Data_Raw'!C:C,5+A82)*(1-MIN('Scenarios_10'!G10,'Assumptions'!B9))+INDEX('Inputs_Data_Raw'!D:D,5+A82),INDEX('Inputs_Data_Raw'!D:D,5+A82)*(1-AVERAGE('Assumptions'!B5,'Assumptions'!B6,'Assumptions'!B7,'Assumptions'!B8)))))</f>
        <v>1228500.0</v>
      </c>
      <c r="K82" s="5">
        <f>G82+H82+I82-J82</f>
        <v>1013800.0</v>
      </c>
      <c r="L82" s="5">
        <f>L81+K82</f>
        <v>-1525600.0</v>
      </c>
    </row>
    <row r="83" spans="1:12">
      <c r="A83" s="8">
        <v>2</v>
      </c>
      <c r="B83" s="5">
        <f>IF(A83=0,-'Inputs_Data_Raw'!H5,0)</f>
        <v>0.0</v>
      </c>
      <c r="C83" s="5">
        <f>IF(A83=0,0,INDEX('Inputs_Data_Raw'!B:B, 5+A83))</f>
        <v>2342300.0</v>
      </c>
      <c r="D83" s="5">
        <f>IF(A83=0,0,INDEX('Inputs_Data_Raw'!E:E, 5+A83))</f>
        <v>1638000.0</v>
      </c>
      <c r="E83" s="5">
        <f>B83+C83-D83</f>
        <v>704300.0</v>
      </c>
      <c r="F83" s="5">
        <f>F82+E83</f>
        <v>-2130800.0</v>
      </c>
      <c r="G83" s="5">
        <f>IF(A83=0,-'Inputs_Data_Raw'!H5,0)</f>
        <v>0.0</v>
      </c>
      <c r="H83" s="5">
        <f>IF(AND(A83&gt;=1,A83&lt;='Scenarios_10'!B10),MAX(0,(MAX(0,'Scenarios_10'!D10-'Scenarios_10'!E10/'Scenarios_10'!B10))-IF(AND(A83&gt;'Scenarios_10'!B10-4,A83&lt;='Scenarios_10'!B10),'Scenarios_10'!F10,0)),0)</f>
        <v>2242300.0</v>
      </c>
      <c r="I83" s="5">
        <f>IF(A83=0,'Scenarios_10'!E10,0)</f>
        <v>0.0</v>
      </c>
      <c r="J83" s="5">
        <f>IF(A83=0,0,IF('Scenarios_10'!C10="uniform_pct",INDEX('Inputs_Data_Raw'!E:E,5+A83)*(1-MIN('Scenarios_10'!G10,'Assumptions'!B9)),IF('Scenarios_10'!C10="electricity_only_pct",INDEX('Inputs_Data_Raw'!C:C,5+A83)*(1-MIN('Scenarios_10'!G10,'Assumptions'!B9))+INDEX('Inputs_Data_Raw'!D:D,5+A83),INDEX('Inputs_Data_Raw'!D:D,5+A83)*(1-AVERAGE('Assumptions'!B5,'Assumptions'!B6,'Assumptions'!B7,'Assumptions'!B8)))))</f>
        <v>1228500.0</v>
      </c>
      <c r="K83" s="5">
        <f>G83+H83+I83-J83</f>
        <v>1013800.0</v>
      </c>
      <c r="L83" s="5">
        <f>L82+K83</f>
        <v>-511800.0</v>
      </c>
    </row>
    <row r="84" spans="1:12">
      <c r="A84" s="8">
        <v>3</v>
      </c>
      <c r="B84" s="5">
        <f>IF(A84=0,-'Inputs_Data_Raw'!H5,0)</f>
        <v>0.0</v>
      </c>
      <c r="C84" s="5">
        <f>IF(A84=0,0,INDEX('Inputs_Data_Raw'!B:B, 5+A84))</f>
        <v>2342300.0</v>
      </c>
      <c r="D84" s="5">
        <f>IF(A84=0,0,INDEX('Inputs_Data_Raw'!E:E, 5+A84))</f>
        <v>1638000.0</v>
      </c>
      <c r="E84" s="5">
        <f>B84+C84-D84</f>
        <v>704300.0</v>
      </c>
      <c r="F84" s="5">
        <f>F83+E84</f>
        <v>-1426500.0</v>
      </c>
      <c r="G84" s="5">
        <f>IF(A84=0,-'Inputs_Data_Raw'!H5,0)</f>
        <v>0.0</v>
      </c>
      <c r="H84" s="5">
        <f>IF(AND(A84&gt;=1,A84&lt;='Scenarios_10'!B10),MAX(0,(MAX(0,'Scenarios_10'!D10-'Scenarios_10'!E10/'Scenarios_10'!B10))-IF(AND(A84&gt;'Scenarios_10'!B10-4,A84&lt;='Scenarios_10'!B10),'Scenarios_10'!F10,0)),0)</f>
        <v>2242300.0</v>
      </c>
      <c r="I84" s="5">
        <f>IF(A84=0,'Scenarios_10'!E10,0)</f>
        <v>0.0</v>
      </c>
      <c r="J84" s="5">
        <f>IF(A84=0,0,IF('Scenarios_10'!C10="uniform_pct",INDEX('Inputs_Data_Raw'!E:E,5+A84)*(1-MIN('Scenarios_10'!G10,'Assumptions'!B9)),IF('Scenarios_10'!C10="electricity_only_pct",INDEX('Inputs_Data_Raw'!C:C,5+A84)*(1-MIN('Scenarios_10'!G10,'Assumptions'!B9))+INDEX('Inputs_Data_Raw'!D:D,5+A84),INDEX('Inputs_Data_Raw'!D:D,5+A84)*(1-AVERAGE('Assumptions'!B5,'Assumptions'!B6,'Assumptions'!B7,'Assumptions'!B8)))))</f>
        <v>1228500.0</v>
      </c>
      <c r="K84" s="5">
        <f>G84+H84+I84-J84</f>
        <v>1013800.0</v>
      </c>
      <c r="L84" s="5">
        <f>L83+K84</f>
        <v>502000.0</v>
      </c>
    </row>
    <row r="85" spans="1:12">
      <c r="A85" s="8">
        <v>4</v>
      </c>
      <c r="B85" s="5">
        <f>IF(A85=0,-'Inputs_Data_Raw'!H5,0)</f>
        <v>0.0</v>
      </c>
      <c r="C85" s="5">
        <f>IF(A85=0,0,INDEX('Inputs_Data_Raw'!B:B, 5+A85))</f>
        <v>2342300.0</v>
      </c>
      <c r="D85" s="5">
        <f>IF(A85=0,0,INDEX('Inputs_Data_Raw'!E:E, 5+A85))</f>
        <v>1638000.0</v>
      </c>
      <c r="E85" s="5">
        <f>B85+C85-D85</f>
        <v>704300.0</v>
      </c>
      <c r="F85" s="5">
        <f>F84+E85</f>
        <v>-722200.0</v>
      </c>
      <c r="G85" s="5">
        <f>IF(A85=0,-'Inputs_Data_Raw'!H5,0)</f>
        <v>0.0</v>
      </c>
      <c r="H85" s="5">
        <f>IF(AND(A85&gt;=1,A85&lt;='Scenarios_10'!B10),MAX(0,(MAX(0,'Scenarios_10'!D10-'Scenarios_10'!E10/'Scenarios_10'!B10))-IF(AND(A85&gt;'Scenarios_10'!B10-4,A85&lt;='Scenarios_10'!B10),'Scenarios_10'!F10,0)),0)</f>
        <v>2242300.0</v>
      </c>
      <c r="I85" s="5">
        <f>IF(A85=0,'Scenarios_10'!E10,0)</f>
        <v>0.0</v>
      </c>
      <c r="J85" s="5">
        <f>IF(A85=0,0,IF('Scenarios_10'!C10="uniform_pct",INDEX('Inputs_Data_Raw'!E:E,5+A85)*(1-MIN('Scenarios_10'!G10,'Assumptions'!B9)),IF('Scenarios_10'!C10="electricity_only_pct",INDEX('Inputs_Data_Raw'!C:C,5+A85)*(1-MIN('Scenarios_10'!G10,'Assumptions'!B9))+INDEX('Inputs_Data_Raw'!D:D,5+A85),INDEX('Inputs_Data_Raw'!D:D,5+A85)*(1-AVERAGE('Assumptions'!B5,'Assumptions'!B6,'Assumptions'!B7,'Assumptions'!B8)))))</f>
        <v>1228500.0</v>
      </c>
      <c r="K85" s="5">
        <f>G85+H85+I85-J85</f>
        <v>1013800.0</v>
      </c>
      <c r="L85" s="5">
        <f>L84+K85</f>
        <v>1515800.0</v>
      </c>
    </row>
    <row r="86" spans="1:12">
      <c r="A86" s="8">
        <v>5</v>
      </c>
      <c r="B86" s="5">
        <f>IF(A86=0,-'Inputs_Data_Raw'!H5,0)</f>
        <v>0.0</v>
      </c>
      <c r="C86" s="5">
        <f>IF(A86=0,0,INDEX('Inputs_Data_Raw'!B:B, 5+A86))</f>
        <v>2342300.0</v>
      </c>
      <c r="D86" s="5">
        <f>IF(A86=0,0,INDEX('Inputs_Data_Raw'!E:E, 5+A86))</f>
        <v>1638000.0</v>
      </c>
      <c r="E86" s="5">
        <f>B86+C86-D86</f>
        <v>704300.0</v>
      </c>
      <c r="F86" s="5">
        <f>F85+E86</f>
        <v>-17900.0</v>
      </c>
      <c r="G86" s="5">
        <f>IF(A86=0,-'Inputs_Data_Raw'!H5,0)</f>
        <v>0.0</v>
      </c>
      <c r="H86" s="5">
        <f>IF(AND(A86&gt;=1,A86&lt;='Scenarios_10'!B10),MAX(0,(MAX(0,'Scenarios_10'!D10-'Scenarios_10'!E10/'Scenarios_10'!B10))-IF(AND(A86&gt;'Scenarios_10'!B10-4,A86&lt;='Scenarios_10'!B10),'Scenarios_10'!F10,0)),0)</f>
        <v>2242300.0</v>
      </c>
      <c r="I86" s="5">
        <f>IF(A86=0,'Scenarios_10'!E10,0)</f>
        <v>0.0</v>
      </c>
      <c r="J86" s="5">
        <f>IF(A86=0,0,IF('Scenarios_10'!C10="uniform_pct",INDEX('Inputs_Data_Raw'!E:E,5+A86)*(1-MIN('Scenarios_10'!G10,'Assumptions'!B9)),IF('Scenarios_10'!C10="electricity_only_pct",INDEX('Inputs_Data_Raw'!C:C,5+A86)*(1-MIN('Scenarios_10'!G10,'Assumptions'!B9))+INDEX('Inputs_Data_Raw'!D:D,5+A86),INDEX('Inputs_Data_Raw'!D:D,5+A86)*(1-AVERAGE('Assumptions'!B5,'Assumptions'!B6,'Assumptions'!B7,'Assumptions'!B8)))))</f>
        <v>1228500.0</v>
      </c>
      <c r="K86" s="5">
        <f>G86+H86+I86-J86</f>
        <v>1013800.0</v>
      </c>
      <c r="L86" s="5">
        <f>L85+K86</f>
        <v>2529600.0</v>
      </c>
    </row>
    <row r="87" spans="1:12">
      <c r="A87" s="8">
        <v>6</v>
      </c>
      <c r="B87" s="5">
        <f>IF(A87=0,-'Inputs_Data_Raw'!H5,0)</f>
        <v>0.0</v>
      </c>
      <c r="C87" s="5">
        <f>IF(A87=0,0,INDEX('Inputs_Data_Raw'!B:B, 5+A87))</f>
        <v>2342300.0</v>
      </c>
      <c r="D87" s="5">
        <f>IF(A87=0,0,INDEX('Inputs_Data_Raw'!E:E, 5+A87))</f>
        <v>1638000.0</v>
      </c>
      <c r="E87" s="5">
        <f>B87+C87-D87</f>
        <v>704300.0</v>
      </c>
      <c r="F87" s="5">
        <f>F86+E87</f>
        <v>686400.0</v>
      </c>
      <c r="G87" s="5">
        <f>IF(A87=0,-'Inputs_Data_Raw'!H5,0)</f>
        <v>0.0</v>
      </c>
      <c r="H87" s="5">
        <f>IF(AND(A87&gt;=1,A87&lt;='Scenarios_10'!B10),MAX(0,(MAX(0,'Scenarios_10'!D10-'Scenarios_10'!E10/'Scenarios_10'!B10))-IF(AND(A87&gt;'Scenarios_10'!B10-4,A87&lt;='Scenarios_10'!B10),'Scenarios_10'!F10,0)),0)</f>
        <v>2242300.0</v>
      </c>
      <c r="I87" s="5">
        <f>IF(A87=0,'Scenarios_10'!E10,0)</f>
        <v>0.0</v>
      </c>
      <c r="J87" s="5">
        <f>IF(A87=0,0,IF('Scenarios_10'!C10="uniform_pct",INDEX('Inputs_Data_Raw'!E:E,5+A87)*(1-MIN('Scenarios_10'!G10,'Assumptions'!B9)),IF('Scenarios_10'!C10="electricity_only_pct",INDEX('Inputs_Data_Raw'!C:C,5+A87)*(1-MIN('Scenarios_10'!G10,'Assumptions'!B9))+INDEX('Inputs_Data_Raw'!D:D,5+A87),INDEX('Inputs_Data_Raw'!D:D,5+A87)*(1-AVERAGE('Assumptions'!B5,'Assumptions'!B6,'Assumptions'!B7,'Assumptions'!B8)))))</f>
        <v>1228500.0</v>
      </c>
      <c r="K87" s="5">
        <f>G87+H87+I87-J87</f>
        <v>1013800.0</v>
      </c>
      <c r="L87" s="5">
        <f>L86+K87</f>
        <v>3543400.0</v>
      </c>
    </row>
    <row r="88" spans="1:12">
      <c r="A88" s="8">
        <v>7</v>
      </c>
      <c r="B88" s="5">
        <f>IF(A88=0,-'Inputs_Data_Raw'!H5,0)</f>
        <v>0.0</v>
      </c>
      <c r="C88" s="5">
        <f>IF(A88=0,0,INDEX('Inputs_Data_Raw'!B:B, 5+A88))</f>
        <v>2342300.0</v>
      </c>
      <c r="D88" s="5">
        <f>IF(A88=0,0,INDEX('Inputs_Data_Raw'!E:E, 5+A88))</f>
        <v>1638000.0</v>
      </c>
      <c r="E88" s="5">
        <f>B88+C88-D88</f>
        <v>704300.0</v>
      </c>
      <c r="F88" s="5">
        <f>F87+E88</f>
        <v>1390700.0</v>
      </c>
      <c r="G88" s="5">
        <f>IF(A88=0,-'Inputs_Data_Raw'!H5,0)</f>
        <v>0.0</v>
      </c>
      <c r="H88" s="5">
        <f>IF(AND(A88&gt;=1,A88&lt;='Scenarios_10'!B10),MAX(0,(MAX(0,'Scenarios_10'!D10-'Scenarios_10'!E10/'Scenarios_10'!B10))-IF(AND(A88&gt;'Scenarios_10'!B10-4,A88&lt;='Scenarios_10'!B10),'Scenarios_10'!F10,0)),0)</f>
        <v>2242300.0</v>
      </c>
      <c r="I88" s="5">
        <f>IF(A88=0,'Scenarios_10'!E10,0)</f>
        <v>0.0</v>
      </c>
      <c r="J88" s="5">
        <f>IF(A88=0,0,IF('Scenarios_10'!C10="uniform_pct",INDEX('Inputs_Data_Raw'!E:E,5+A88)*(1-MIN('Scenarios_10'!G10,'Assumptions'!B9)),IF('Scenarios_10'!C10="electricity_only_pct",INDEX('Inputs_Data_Raw'!C:C,5+A88)*(1-MIN('Scenarios_10'!G10,'Assumptions'!B9))+INDEX('Inputs_Data_Raw'!D:D,5+A88),INDEX('Inputs_Data_Raw'!D:D,5+A88)*(1-AVERAGE('Assumptions'!B5,'Assumptions'!B6,'Assumptions'!B7,'Assumptions'!B8)))))</f>
        <v>1228500.0</v>
      </c>
      <c r="K88" s="5">
        <f>G88+H88+I88-J88</f>
        <v>1013800.0</v>
      </c>
      <c r="L88" s="5">
        <f>L87+K88</f>
        <v>4557200.0</v>
      </c>
    </row>
    <row r="89" spans="1:12">
      <c r="A89" s="8">
        <v>8</v>
      </c>
      <c r="B89" s="5">
        <f>IF(A89=0,-'Inputs_Data_Raw'!H5,0)</f>
        <v>0.0</v>
      </c>
      <c r="C89" s="5">
        <f>IF(A89=0,0,INDEX('Inputs_Data_Raw'!B:B, 5+A89))</f>
        <v>2342300.0</v>
      </c>
      <c r="D89" s="5">
        <f>IF(A89=0,0,INDEX('Inputs_Data_Raw'!E:E, 5+A89))</f>
        <v>1638000.0</v>
      </c>
      <c r="E89" s="5">
        <f>B89+C89-D89</f>
        <v>704300.0</v>
      </c>
      <c r="F89" s="5">
        <f>F88+E89</f>
        <v>2095000.0</v>
      </c>
      <c r="G89" s="5">
        <f>IF(A89=0,-'Inputs_Data_Raw'!H5,0)</f>
        <v>0.0</v>
      </c>
      <c r="H89" s="5">
        <f>IF(AND(A89&gt;=1,A89&lt;='Scenarios_10'!B10),MAX(0,(MAX(0,'Scenarios_10'!D10-'Scenarios_10'!E10/'Scenarios_10'!B10))-IF(AND(A89&gt;'Scenarios_10'!B10-4,A89&lt;='Scenarios_10'!B10),'Scenarios_10'!F10,0)),0)</f>
        <v>2242300.0</v>
      </c>
      <c r="I89" s="5">
        <f>IF(A89=0,'Scenarios_10'!E10,0)</f>
        <v>0.0</v>
      </c>
      <c r="J89" s="5">
        <f>IF(A89=0,0,IF('Scenarios_10'!C10="uniform_pct",INDEX('Inputs_Data_Raw'!E:E,5+A89)*(1-MIN('Scenarios_10'!G10,'Assumptions'!B9)),IF('Scenarios_10'!C10="electricity_only_pct",INDEX('Inputs_Data_Raw'!C:C,5+A89)*(1-MIN('Scenarios_10'!G10,'Assumptions'!B9))+INDEX('Inputs_Data_Raw'!D:D,5+A89),INDEX('Inputs_Data_Raw'!D:D,5+A89)*(1-AVERAGE('Assumptions'!B5,'Assumptions'!B6,'Assumptions'!B7,'Assumptions'!B8)))))</f>
        <v>1228500.0</v>
      </c>
      <c r="K89" s="5">
        <f>G89+H89+I89-J89</f>
        <v>1013800.0</v>
      </c>
      <c r="L89" s="5">
        <f>L88+K89</f>
        <v>5571000.0</v>
      </c>
    </row>
    <row r="90" spans="1:12">
      <c r="A90" s="8">
        <v>9</v>
      </c>
      <c r="B90" s="5">
        <f>IF(A90=0,-'Inputs_Data_Raw'!H5,0)</f>
        <v>0.0</v>
      </c>
      <c r="C90" s="5">
        <f>IF(A90=0,0,INDEX('Inputs_Data_Raw'!B:B, 5+A90))</f>
        <v>2342300.0</v>
      </c>
      <c r="D90" s="5">
        <f>IF(A90=0,0,INDEX('Inputs_Data_Raw'!E:E, 5+A90))</f>
        <v>1638000.0</v>
      </c>
      <c r="E90" s="5">
        <f>B90+C90-D90</f>
        <v>704300.0</v>
      </c>
      <c r="F90" s="5">
        <f>F89+E90</f>
        <v>2799300.0</v>
      </c>
      <c r="G90" s="5">
        <f>IF(A90=0,-'Inputs_Data_Raw'!H5,0)</f>
        <v>0.0</v>
      </c>
      <c r="H90" s="5">
        <f>IF(AND(A90&gt;=1,A90&lt;='Scenarios_10'!B10),MAX(0,(MAX(0,'Scenarios_10'!D10-'Scenarios_10'!E10/'Scenarios_10'!B10))-IF(AND(A90&gt;'Scenarios_10'!B10-4,A90&lt;='Scenarios_10'!B10),'Scenarios_10'!F10,0)),0)</f>
        <v>2242300.0</v>
      </c>
      <c r="I90" s="5">
        <f>IF(A90=0,'Scenarios_10'!E10,0)</f>
        <v>0.0</v>
      </c>
      <c r="J90" s="5">
        <f>IF(A90=0,0,IF('Scenarios_10'!C10="uniform_pct",INDEX('Inputs_Data_Raw'!E:E,5+A90)*(1-MIN('Scenarios_10'!G10,'Assumptions'!B9)),IF('Scenarios_10'!C10="electricity_only_pct",INDEX('Inputs_Data_Raw'!C:C,5+A90)*(1-MIN('Scenarios_10'!G10,'Assumptions'!B9))+INDEX('Inputs_Data_Raw'!D:D,5+A90),INDEX('Inputs_Data_Raw'!D:D,5+A90)*(1-AVERAGE('Assumptions'!B5,'Assumptions'!B6,'Assumptions'!B7,'Assumptions'!B8)))))</f>
        <v>1228500.0</v>
      </c>
      <c r="K90" s="5">
        <f>G90+H90+I90-J90</f>
        <v>1013800.0</v>
      </c>
      <c r="L90" s="5">
        <f>L89+K90</f>
        <v>6584800.0</v>
      </c>
    </row>
    <row r="91" spans="1:12">
      <c r="A91" s="8">
        <v>10</v>
      </c>
      <c r="B91" s="5">
        <f>IF(A91=0,-'Inputs_Data_Raw'!H5,0)</f>
        <v>0.0</v>
      </c>
      <c r="C91" s="5">
        <f>IF(A91=0,0,INDEX('Inputs_Data_Raw'!B:B, 5+A91))</f>
        <v>2342300.0</v>
      </c>
      <c r="D91" s="5">
        <f>IF(A91=0,0,INDEX('Inputs_Data_Raw'!E:E, 5+A91))</f>
        <v>1638000.0</v>
      </c>
      <c r="E91" s="5">
        <f>B91+C91-D91</f>
        <v>704300.0</v>
      </c>
      <c r="F91" s="5">
        <f>F90+E91</f>
        <v>3503600.0</v>
      </c>
      <c r="G91" s="5">
        <f>IF(A91=0,-'Inputs_Data_Raw'!H5,0)</f>
        <v>0.0</v>
      </c>
      <c r="H91" s="5">
        <f>IF(AND(A91&gt;=1,A91&lt;='Scenarios_10'!B10),MAX(0,(MAX(0,'Scenarios_10'!D10-'Scenarios_10'!E10/'Scenarios_10'!B10))-IF(AND(A91&gt;'Scenarios_10'!B10-4,A91&lt;='Scenarios_10'!B10),'Scenarios_10'!F10,0)),0)</f>
        <v>2242300.0</v>
      </c>
      <c r="I91" s="5">
        <f>IF(A91=0,'Scenarios_10'!E10,0)</f>
        <v>0.0</v>
      </c>
      <c r="J91" s="5">
        <f>IF(A91=0,0,IF('Scenarios_10'!C10="uniform_pct",INDEX('Inputs_Data_Raw'!E:E,5+A91)*(1-MIN('Scenarios_10'!G10,'Assumptions'!B9)),IF('Scenarios_10'!C10="electricity_only_pct",INDEX('Inputs_Data_Raw'!C:C,5+A91)*(1-MIN('Scenarios_10'!G10,'Assumptions'!B9))+INDEX('Inputs_Data_Raw'!D:D,5+A91),INDEX('Inputs_Data_Raw'!D:D,5+A91)*(1-AVERAGE('Assumptions'!B5,'Assumptions'!B6,'Assumptions'!B7,'Assumptions'!B8)))))</f>
        <v>1228500.0</v>
      </c>
      <c r="K91" s="5">
        <f>G91+H91+I91-J91</f>
        <v>1013800.0</v>
      </c>
      <c r="L91" s="5">
        <f>L90+K91</f>
        <v>7598600.0</v>
      </c>
    </row>
    <row r="94" spans="1:12">
      <c r="A94" s="3" t="s">
        <v>107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6" t="s">
        <v>90</v>
      </c>
      <c r="B95" s="6" t="s">
        <v>91</v>
      </c>
      <c r="C95" s="6" t="s">
        <v>92</v>
      </c>
      <c r="D95" s="6" t="s">
        <v>93</v>
      </c>
      <c r="E95" s="6" t="s">
        <v>94</v>
      </c>
      <c r="F95" s="6" t="s">
        <v>95</v>
      </c>
      <c r="G95" s="6" t="s">
        <v>96</v>
      </c>
      <c r="H95" s="6" t="s">
        <v>97</v>
      </c>
      <c r="I95" s="6" t="s">
        <v>98</v>
      </c>
      <c r="J95" s="6" t="s">
        <v>99</v>
      </c>
      <c r="K95" s="6" t="s">
        <v>100</v>
      </c>
      <c r="L95" s="6" t="s">
        <v>101</v>
      </c>
    </row>
    <row r="96" spans="1:12">
      <c r="A96" s="8">
        <v>0</v>
      </c>
      <c r="B96" s="5">
        <f>IF(A96=0,-'Inputs_Data_Raw'!H5,0)</f>
        <v>-3539400.0</v>
      </c>
      <c r="C96" s="5">
        <f>IF(A96=0,0,INDEX('Inputs_Data_Raw'!B:B, 5+A96))</f>
        <v>0.0</v>
      </c>
      <c r="D96" s="5">
        <f>IF(A96=0,0,INDEX('Inputs_Data_Raw'!E:E, 5+A96))</f>
        <v>0.0</v>
      </c>
      <c r="E96" s="5">
        <f>B96+C96-D96</f>
        <v>-3539400.0</v>
      </c>
      <c r="F96" s="5">
        <f>E96</f>
        <v>-3539400.0</v>
      </c>
      <c r="G96" s="5">
        <f>IF(A96=0,-'Inputs_Data_Raw'!H5,0)</f>
        <v>-3539400.0</v>
      </c>
      <c r="H96" s="5">
        <f>IF(AND(A96&gt;=1,A96&lt;='Scenarios_10'!B11),MAX(0,(MAX(0,'Scenarios_10'!D11-'Scenarios_10'!E11/'Scenarios_10'!B11))-IF(AND(A96&gt;'Scenarios_10'!B11-4,A96&lt;='Scenarios_10'!B11),'Scenarios_10'!F11,0)),0)</f>
        <v>0.0</v>
      </c>
      <c r="I96" s="5">
        <f>IF(A96=0,'Scenarios_10'!E11,0)</f>
        <v>0.0</v>
      </c>
      <c r="J96" s="5">
        <f>IF(A96=0,0,IF('Scenarios_10'!C11="uniform_pct",INDEX('Inputs_Data_Raw'!E:E,5+A96)*(1-MIN('Scenarios_10'!G11,'Assumptions'!B9)),IF('Scenarios_10'!C11="electricity_only_pct",INDEX('Inputs_Data_Raw'!C:C,5+A96)*(1-MIN('Scenarios_10'!G11,'Assumptions'!B9))+INDEX('Inputs_Data_Raw'!D:D,5+A96),INDEX('Inputs_Data_Raw'!D:D,5+A96)*(1-AVERAGE('Assumptions'!B5,'Assumptions'!B6,'Assumptions'!B7,'Assumptions'!B8)))))</f>
        <v>0.0</v>
      </c>
      <c r="K96" s="5">
        <f>G96+H96+I96-J96</f>
        <v>-3539400.0</v>
      </c>
      <c r="L96" s="5">
        <f>K96</f>
        <v>-3539400.0</v>
      </c>
    </row>
    <row r="97" spans="1:12">
      <c r="A97" s="8">
        <v>1</v>
      </c>
      <c r="B97" s="5">
        <f>IF(A97=0,-'Inputs_Data_Raw'!H5,0)</f>
        <v>0.0</v>
      </c>
      <c r="C97" s="5">
        <f>IF(A97=0,0,INDEX('Inputs_Data_Raw'!B:B, 5+A97))</f>
        <v>2342300.0</v>
      </c>
      <c r="D97" s="5">
        <f>IF(A97=0,0,INDEX('Inputs_Data_Raw'!E:E, 5+A97))</f>
        <v>1638000.0</v>
      </c>
      <c r="E97" s="5">
        <f>B97+C97-D97</f>
        <v>704300.0</v>
      </c>
      <c r="F97" s="5">
        <f>F96+E97</f>
        <v>-2835100.0</v>
      </c>
      <c r="G97" s="5">
        <f>IF(A97=0,-'Inputs_Data_Raw'!H5,0)</f>
        <v>0.0</v>
      </c>
      <c r="H97" s="5">
        <f>IF(AND(A97&gt;=1,A97&lt;='Scenarios_10'!B11),MAX(0,(MAX(0,'Scenarios_10'!D11-'Scenarios_10'!E11/'Scenarios_10'!B11))-IF(AND(A97&gt;'Scenarios_10'!B11-4,A97&lt;='Scenarios_10'!B11),'Scenarios_10'!F11,0)),0)</f>
        <v>2389146.0</v>
      </c>
      <c r="I97" s="5">
        <f>IF(A97=0,'Scenarios_10'!E11,0)</f>
        <v>0.0</v>
      </c>
      <c r="J97" s="5">
        <f>IF(A97=0,0,IF('Scenarios_10'!C11="uniform_pct",INDEX('Inputs_Data_Raw'!E:E,5+A97)*(1-MIN('Scenarios_10'!G11,'Assumptions'!B9)),IF('Scenarios_10'!C11="electricity_only_pct",INDEX('Inputs_Data_Raw'!C:C,5+A97)*(1-MIN('Scenarios_10'!G11,'Assumptions'!B9))+INDEX('Inputs_Data_Raw'!D:D,5+A97),INDEX('Inputs_Data_Raw'!D:D,5+A97)*(1-AVERAGE('Assumptions'!B5,'Assumptions'!B6,'Assumptions'!B7,'Assumptions'!B8)))))</f>
        <v>1228500.0</v>
      </c>
      <c r="K97" s="5">
        <f>G97+H97+I97-J97</f>
        <v>1160646.0</v>
      </c>
      <c r="L97" s="5">
        <f>L96+K97</f>
        <v>-2378754.0</v>
      </c>
    </row>
    <row r="98" spans="1:12">
      <c r="A98" s="8">
        <v>2</v>
      </c>
      <c r="B98" s="5">
        <f>IF(A98=0,-'Inputs_Data_Raw'!H5,0)</f>
        <v>0.0</v>
      </c>
      <c r="C98" s="5">
        <f>IF(A98=0,0,INDEX('Inputs_Data_Raw'!B:B, 5+A98))</f>
        <v>2342300.0</v>
      </c>
      <c r="D98" s="5">
        <f>IF(A98=0,0,INDEX('Inputs_Data_Raw'!E:E, 5+A98))</f>
        <v>1638000.0</v>
      </c>
      <c r="E98" s="5">
        <f>B98+C98-D98</f>
        <v>704300.0</v>
      </c>
      <c r="F98" s="5">
        <f>F97+E98</f>
        <v>-2130800.0</v>
      </c>
      <c r="G98" s="5">
        <f>IF(A98=0,-'Inputs_Data_Raw'!H5,0)</f>
        <v>0.0</v>
      </c>
      <c r="H98" s="5">
        <f>IF(AND(A98&gt;=1,A98&lt;='Scenarios_10'!B11),MAX(0,(MAX(0,'Scenarios_10'!D11-'Scenarios_10'!E11/'Scenarios_10'!B11))-IF(AND(A98&gt;'Scenarios_10'!B11-4,A98&lt;='Scenarios_10'!B11),'Scenarios_10'!F11,0)),0)</f>
        <v>2389146.0</v>
      </c>
      <c r="I98" s="5">
        <f>IF(A98=0,'Scenarios_10'!E11,0)</f>
        <v>0.0</v>
      </c>
      <c r="J98" s="5">
        <f>IF(A98=0,0,IF('Scenarios_10'!C11="uniform_pct",INDEX('Inputs_Data_Raw'!E:E,5+A98)*(1-MIN('Scenarios_10'!G11,'Assumptions'!B9)),IF('Scenarios_10'!C11="electricity_only_pct",INDEX('Inputs_Data_Raw'!C:C,5+A98)*(1-MIN('Scenarios_10'!G11,'Assumptions'!B9))+INDEX('Inputs_Data_Raw'!D:D,5+A98),INDEX('Inputs_Data_Raw'!D:D,5+A98)*(1-AVERAGE('Assumptions'!B5,'Assumptions'!B6,'Assumptions'!B7,'Assumptions'!B8)))))</f>
        <v>1228500.0</v>
      </c>
      <c r="K98" s="5">
        <f>G98+H98+I98-J98</f>
        <v>1160646.0</v>
      </c>
      <c r="L98" s="5">
        <f>L97+K98</f>
        <v>-1218108.0</v>
      </c>
    </row>
    <row r="99" spans="1:12">
      <c r="A99" s="8">
        <v>3</v>
      </c>
      <c r="B99" s="5">
        <f>IF(A99=0,-'Inputs_Data_Raw'!H5,0)</f>
        <v>0.0</v>
      </c>
      <c r="C99" s="5">
        <f>IF(A99=0,0,INDEX('Inputs_Data_Raw'!B:B, 5+A99))</f>
        <v>2342300.0</v>
      </c>
      <c r="D99" s="5">
        <f>IF(A99=0,0,INDEX('Inputs_Data_Raw'!E:E, 5+A99))</f>
        <v>1638000.0</v>
      </c>
      <c r="E99" s="5">
        <f>B99+C99-D99</f>
        <v>704300.0</v>
      </c>
      <c r="F99" s="5">
        <f>F98+E99</f>
        <v>-1426500.0</v>
      </c>
      <c r="G99" s="5">
        <f>IF(A99=0,-'Inputs_Data_Raw'!H5,0)</f>
        <v>0.0</v>
      </c>
      <c r="H99" s="5">
        <f>IF(AND(A99&gt;=1,A99&lt;='Scenarios_10'!B11),MAX(0,(MAX(0,'Scenarios_10'!D11-'Scenarios_10'!E11/'Scenarios_10'!B11))-IF(AND(A99&gt;'Scenarios_10'!B11-4,A99&lt;='Scenarios_10'!B11),'Scenarios_10'!F11,0)),0)</f>
        <v>2389146.0</v>
      </c>
      <c r="I99" s="5">
        <f>IF(A99=0,'Scenarios_10'!E11,0)</f>
        <v>0.0</v>
      </c>
      <c r="J99" s="5">
        <f>IF(A99=0,0,IF('Scenarios_10'!C11="uniform_pct",INDEX('Inputs_Data_Raw'!E:E,5+A99)*(1-MIN('Scenarios_10'!G11,'Assumptions'!B9)),IF('Scenarios_10'!C11="electricity_only_pct",INDEX('Inputs_Data_Raw'!C:C,5+A99)*(1-MIN('Scenarios_10'!G11,'Assumptions'!B9))+INDEX('Inputs_Data_Raw'!D:D,5+A99),INDEX('Inputs_Data_Raw'!D:D,5+A99)*(1-AVERAGE('Assumptions'!B5,'Assumptions'!B6,'Assumptions'!B7,'Assumptions'!B8)))))</f>
        <v>1228500.0</v>
      </c>
      <c r="K99" s="5">
        <f>G99+H99+I99-J99</f>
        <v>1160646.0</v>
      </c>
      <c r="L99" s="5">
        <f>L98+K99</f>
        <v>-57462.0</v>
      </c>
    </row>
    <row r="100" spans="1:12">
      <c r="A100" s="8">
        <v>4</v>
      </c>
      <c r="B100" s="5">
        <f>IF(A100=0,-'Inputs_Data_Raw'!H5,0)</f>
        <v>0.0</v>
      </c>
      <c r="C100" s="5">
        <f>IF(A100=0,0,INDEX('Inputs_Data_Raw'!B:B, 5+A100))</f>
        <v>2342300.0</v>
      </c>
      <c r="D100" s="5">
        <f>IF(A100=0,0,INDEX('Inputs_Data_Raw'!E:E, 5+A100))</f>
        <v>1638000.0</v>
      </c>
      <c r="E100" s="5">
        <f>B100+C100-D100</f>
        <v>704300.0</v>
      </c>
      <c r="F100" s="5">
        <f>F99+E100</f>
        <v>-722200.0</v>
      </c>
      <c r="G100" s="5">
        <f>IF(A100=0,-'Inputs_Data_Raw'!H5,0)</f>
        <v>0.0</v>
      </c>
      <c r="H100" s="5">
        <f>IF(AND(A100&gt;=1,A100&lt;='Scenarios_10'!B11),MAX(0,(MAX(0,'Scenarios_10'!D11-'Scenarios_10'!E11/'Scenarios_10'!B11))-IF(AND(A100&gt;'Scenarios_10'!B11-4,A100&lt;='Scenarios_10'!B11),'Scenarios_10'!F11,0)),0)</f>
        <v>2389146.0</v>
      </c>
      <c r="I100" s="5">
        <f>IF(A100=0,'Scenarios_10'!E11,0)</f>
        <v>0.0</v>
      </c>
      <c r="J100" s="5">
        <f>IF(A100=0,0,IF('Scenarios_10'!C11="uniform_pct",INDEX('Inputs_Data_Raw'!E:E,5+A100)*(1-MIN('Scenarios_10'!G11,'Assumptions'!B9)),IF('Scenarios_10'!C11="electricity_only_pct",INDEX('Inputs_Data_Raw'!C:C,5+A100)*(1-MIN('Scenarios_10'!G11,'Assumptions'!B9))+INDEX('Inputs_Data_Raw'!D:D,5+A100),INDEX('Inputs_Data_Raw'!D:D,5+A100)*(1-AVERAGE('Assumptions'!B5,'Assumptions'!B6,'Assumptions'!B7,'Assumptions'!B8)))))</f>
        <v>1228500.0</v>
      </c>
      <c r="K100" s="5">
        <f>G100+H100+I100-J100</f>
        <v>1160646.0</v>
      </c>
      <c r="L100" s="5">
        <f>L99+K100</f>
        <v>1103184.0</v>
      </c>
    </row>
    <row r="101" spans="1:12">
      <c r="A101" s="8">
        <v>5</v>
      </c>
      <c r="B101" s="5">
        <f>IF(A101=0,-'Inputs_Data_Raw'!H5,0)</f>
        <v>0.0</v>
      </c>
      <c r="C101" s="5">
        <f>IF(A101=0,0,INDEX('Inputs_Data_Raw'!B:B, 5+A101))</f>
        <v>2342300.0</v>
      </c>
      <c r="D101" s="5">
        <f>IF(A101=0,0,INDEX('Inputs_Data_Raw'!E:E, 5+A101))</f>
        <v>1638000.0</v>
      </c>
      <c r="E101" s="5">
        <f>B101+C101-D101</f>
        <v>704300.0</v>
      </c>
      <c r="F101" s="5">
        <f>F100+E101</f>
        <v>-17900.0</v>
      </c>
      <c r="G101" s="5">
        <f>IF(A101=0,-'Inputs_Data_Raw'!H5,0)</f>
        <v>0.0</v>
      </c>
      <c r="H101" s="5">
        <f>IF(AND(A101&gt;=1,A101&lt;='Scenarios_10'!B11),MAX(0,(MAX(0,'Scenarios_10'!D11-'Scenarios_10'!E11/'Scenarios_10'!B11))-IF(AND(A101&gt;'Scenarios_10'!B11-4,A101&lt;='Scenarios_10'!B11),'Scenarios_10'!F11,0)),0)</f>
        <v>2389146.0</v>
      </c>
      <c r="I101" s="5">
        <f>IF(A101=0,'Scenarios_10'!E11,0)</f>
        <v>0.0</v>
      </c>
      <c r="J101" s="5">
        <f>IF(A101=0,0,IF('Scenarios_10'!C11="uniform_pct",INDEX('Inputs_Data_Raw'!E:E,5+A101)*(1-MIN('Scenarios_10'!G11,'Assumptions'!B9)),IF('Scenarios_10'!C11="electricity_only_pct",INDEX('Inputs_Data_Raw'!C:C,5+A101)*(1-MIN('Scenarios_10'!G11,'Assumptions'!B9))+INDEX('Inputs_Data_Raw'!D:D,5+A101),INDEX('Inputs_Data_Raw'!D:D,5+A101)*(1-AVERAGE('Assumptions'!B5,'Assumptions'!B6,'Assumptions'!B7,'Assumptions'!B8)))))</f>
        <v>1228500.0</v>
      </c>
      <c r="K101" s="5">
        <f>G101+H101+I101-J101</f>
        <v>1160646.0</v>
      </c>
      <c r="L101" s="5">
        <f>L100+K101</f>
        <v>2263830.0</v>
      </c>
    </row>
    <row r="102" spans="1:12">
      <c r="A102" s="8">
        <v>6</v>
      </c>
      <c r="B102" s="5">
        <f>IF(A102=0,-'Inputs_Data_Raw'!H5,0)</f>
        <v>0.0</v>
      </c>
      <c r="C102" s="5">
        <f>IF(A102=0,0,INDEX('Inputs_Data_Raw'!B:B, 5+A102))</f>
        <v>2342300.0</v>
      </c>
      <c r="D102" s="5">
        <f>IF(A102=0,0,INDEX('Inputs_Data_Raw'!E:E, 5+A102))</f>
        <v>1638000.0</v>
      </c>
      <c r="E102" s="5">
        <f>B102+C102-D102</f>
        <v>704300.0</v>
      </c>
      <c r="F102" s="5">
        <f>F101+E102</f>
        <v>686400.0</v>
      </c>
      <c r="G102" s="5">
        <f>IF(A102=0,-'Inputs_Data_Raw'!H5,0)</f>
        <v>0.0</v>
      </c>
      <c r="H102" s="5">
        <f>IF(AND(A102&gt;=1,A102&lt;='Scenarios_10'!B11),MAX(0,(MAX(0,'Scenarios_10'!D11-'Scenarios_10'!E11/'Scenarios_10'!B11))-IF(AND(A102&gt;'Scenarios_10'!B11-4,A102&lt;='Scenarios_10'!B11),'Scenarios_10'!F11,0)),0)</f>
        <v>2389146.0</v>
      </c>
      <c r="I102" s="5">
        <f>IF(A102=0,'Scenarios_10'!E11,0)</f>
        <v>0.0</v>
      </c>
      <c r="J102" s="5">
        <f>IF(A102=0,0,IF('Scenarios_10'!C11="uniform_pct",INDEX('Inputs_Data_Raw'!E:E,5+A102)*(1-MIN('Scenarios_10'!G11,'Assumptions'!B9)),IF('Scenarios_10'!C11="electricity_only_pct",INDEX('Inputs_Data_Raw'!C:C,5+A102)*(1-MIN('Scenarios_10'!G11,'Assumptions'!B9))+INDEX('Inputs_Data_Raw'!D:D,5+A102),INDEX('Inputs_Data_Raw'!D:D,5+A102)*(1-AVERAGE('Assumptions'!B5,'Assumptions'!B6,'Assumptions'!B7,'Assumptions'!B8)))))</f>
        <v>1228500.0</v>
      </c>
      <c r="K102" s="5">
        <f>G102+H102+I102-J102</f>
        <v>1160646.0</v>
      </c>
      <c r="L102" s="5">
        <f>L101+K102</f>
        <v>3424476.0</v>
      </c>
    </row>
    <row r="103" spans="1:12">
      <c r="A103" s="8">
        <v>7</v>
      </c>
      <c r="B103" s="5">
        <f>IF(A103=0,-'Inputs_Data_Raw'!H5,0)</f>
        <v>0.0</v>
      </c>
      <c r="C103" s="5">
        <f>IF(A103=0,0,INDEX('Inputs_Data_Raw'!B:B, 5+A103))</f>
        <v>2342300.0</v>
      </c>
      <c r="D103" s="5">
        <f>IF(A103=0,0,INDEX('Inputs_Data_Raw'!E:E, 5+A103))</f>
        <v>1638000.0</v>
      </c>
      <c r="E103" s="5">
        <f>B103+C103-D103</f>
        <v>704300.0</v>
      </c>
      <c r="F103" s="5">
        <f>F102+E103</f>
        <v>1390700.0</v>
      </c>
      <c r="G103" s="5">
        <f>IF(A103=0,-'Inputs_Data_Raw'!H5,0)</f>
        <v>0.0</v>
      </c>
      <c r="H103" s="5">
        <f>IF(AND(A103&gt;=1,A103&lt;='Scenarios_10'!B11),MAX(0,(MAX(0,'Scenarios_10'!D11-'Scenarios_10'!E11/'Scenarios_10'!B11))-IF(AND(A103&gt;'Scenarios_10'!B11-4,A103&lt;='Scenarios_10'!B11),'Scenarios_10'!F11,0)),0)</f>
        <v>2139146.0</v>
      </c>
      <c r="I103" s="5">
        <f>IF(A103=0,'Scenarios_10'!E11,0)</f>
        <v>0.0</v>
      </c>
      <c r="J103" s="5">
        <f>IF(A103=0,0,IF('Scenarios_10'!C11="uniform_pct",INDEX('Inputs_Data_Raw'!E:E,5+A103)*(1-MIN('Scenarios_10'!G11,'Assumptions'!B9)),IF('Scenarios_10'!C11="electricity_only_pct",INDEX('Inputs_Data_Raw'!C:C,5+A103)*(1-MIN('Scenarios_10'!G11,'Assumptions'!B9))+INDEX('Inputs_Data_Raw'!D:D,5+A103),INDEX('Inputs_Data_Raw'!D:D,5+A103)*(1-AVERAGE('Assumptions'!B5,'Assumptions'!B6,'Assumptions'!B7,'Assumptions'!B8)))))</f>
        <v>1228500.0</v>
      </c>
      <c r="K103" s="5">
        <f>G103+H103+I103-J103</f>
        <v>910646.0</v>
      </c>
      <c r="L103" s="5">
        <f>L102+K103</f>
        <v>4335122.0</v>
      </c>
    </row>
    <row r="104" spans="1:12">
      <c r="A104" s="8">
        <v>8</v>
      </c>
      <c r="B104" s="5">
        <f>IF(A104=0,-'Inputs_Data_Raw'!H5,0)</f>
        <v>0.0</v>
      </c>
      <c r="C104" s="5">
        <f>IF(A104=0,0,INDEX('Inputs_Data_Raw'!B:B, 5+A104))</f>
        <v>2342300.0</v>
      </c>
      <c r="D104" s="5">
        <f>IF(A104=0,0,INDEX('Inputs_Data_Raw'!E:E, 5+A104))</f>
        <v>1638000.0</v>
      </c>
      <c r="E104" s="5">
        <f>B104+C104-D104</f>
        <v>704300.0</v>
      </c>
      <c r="F104" s="5">
        <f>F103+E104</f>
        <v>2095000.0</v>
      </c>
      <c r="G104" s="5">
        <f>IF(A104=0,-'Inputs_Data_Raw'!H5,0)</f>
        <v>0.0</v>
      </c>
      <c r="H104" s="5">
        <f>IF(AND(A104&gt;=1,A104&lt;='Scenarios_10'!B11),MAX(0,(MAX(0,'Scenarios_10'!D11-'Scenarios_10'!E11/'Scenarios_10'!B11))-IF(AND(A104&gt;'Scenarios_10'!B11-4,A104&lt;='Scenarios_10'!B11),'Scenarios_10'!F11,0)),0)</f>
        <v>2139146.0</v>
      </c>
      <c r="I104" s="5">
        <f>IF(A104=0,'Scenarios_10'!E11,0)</f>
        <v>0.0</v>
      </c>
      <c r="J104" s="5">
        <f>IF(A104=0,0,IF('Scenarios_10'!C11="uniform_pct",INDEX('Inputs_Data_Raw'!E:E,5+A104)*(1-MIN('Scenarios_10'!G11,'Assumptions'!B9)),IF('Scenarios_10'!C11="electricity_only_pct",INDEX('Inputs_Data_Raw'!C:C,5+A104)*(1-MIN('Scenarios_10'!G11,'Assumptions'!B9))+INDEX('Inputs_Data_Raw'!D:D,5+A104),INDEX('Inputs_Data_Raw'!D:D,5+A104)*(1-AVERAGE('Assumptions'!B5,'Assumptions'!B6,'Assumptions'!B7,'Assumptions'!B8)))))</f>
        <v>1228500.0</v>
      </c>
      <c r="K104" s="5">
        <f>G104+H104+I104-J104</f>
        <v>910646.0</v>
      </c>
      <c r="L104" s="5">
        <f>L103+K104</f>
        <v>5245768.0</v>
      </c>
    </row>
    <row r="105" spans="1:12">
      <c r="A105" s="8">
        <v>9</v>
      </c>
      <c r="B105" s="5">
        <f>IF(A105=0,-'Inputs_Data_Raw'!H5,0)</f>
        <v>0.0</v>
      </c>
      <c r="C105" s="5">
        <f>IF(A105=0,0,INDEX('Inputs_Data_Raw'!B:B, 5+A105))</f>
        <v>2342300.0</v>
      </c>
      <c r="D105" s="5">
        <f>IF(A105=0,0,INDEX('Inputs_Data_Raw'!E:E, 5+A105))</f>
        <v>1638000.0</v>
      </c>
      <c r="E105" s="5">
        <f>B105+C105-D105</f>
        <v>704300.0</v>
      </c>
      <c r="F105" s="5">
        <f>F104+E105</f>
        <v>2799300.0</v>
      </c>
      <c r="G105" s="5">
        <f>IF(A105=0,-'Inputs_Data_Raw'!H5,0)</f>
        <v>0.0</v>
      </c>
      <c r="H105" s="5">
        <f>IF(AND(A105&gt;=1,A105&lt;='Scenarios_10'!B11),MAX(0,(MAX(0,'Scenarios_10'!D11-'Scenarios_10'!E11/'Scenarios_10'!B11))-IF(AND(A105&gt;'Scenarios_10'!B11-4,A105&lt;='Scenarios_10'!B11),'Scenarios_10'!F11,0)),0)</f>
        <v>2139146.0</v>
      </c>
      <c r="I105" s="5">
        <f>IF(A105=0,'Scenarios_10'!E11,0)</f>
        <v>0.0</v>
      </c>
      <c r="J105" s="5">
        <f>IF(A105=0,0,IF('Scenarios_10'!C11="uniform_pct",INDEX('Inputs_Data_Raw'!E:E,5+A105)*(1-MIN('Scenarios_10'!G11,'Assumptions'!B9)),IF('Scenarios_10'!C11="electricity_only_pct",INDEX('Inputs_Data_Raw'!C:C,5+A105)*(1-MIN('Scenarios_10'!G11,'Assumptions'!B9))+INDEX('Inputs_Data_Raw'!D:D,5+A105),INDEX('Inputs_Data_Raw'!D:D,5+A105)*(1-AVERAGE('Assumptions'!B5,'Assumptions'!B6,'Assumptions'!B7,'Assumptions'!B8)))))</f>
        <v>1228500.0</v>
      </c>
      <c r="K105" s="5">
        <f>G105+H105+I105-J105</f>
        <v>910646.0</v>
      </c>
      <c r="L105" s="5">
        <f>L104+K105</f>
        <v>6156414.0</v>
      </c>
    </row>
    <row r="106" spans="1:12">
      <c r="A106" s="8">
        <v>10</v>
      </c>
      <c r="B106" s="5">
        <f>IF(A106=0,-'Inputs_Data_Raw'!H5,0)</f>
        <v>0.0</v>
      </c>
      <c r="C106" s="5">
        <f>IF(A106=0,0,INDEX('Inputs_Data_Raw'!B:B, 5+A106))</f>
        <v>2342300.0</v>
      </c>
      <c r="D106" s="5">
        <f>IF(A106=0,0,INDEX('Inputs_Data_Raw'!E:E, 5+A106))</f>
        <v>1638000.0</v>
      </c>
      <c r="E106" s="5">
        <f>B106+C106-D106</f>
        <v>704300.0</v>
      </c>
      <c r="F106" s="5">
        <f>F105+E106</f>
        <v>3503600.0</v>
      </c>
      <c r="G106" s="5">
        <f>IF(A106=0,-'Inputs_Data_Raw'!H5,0)</f>
        <v>0.0</v>
      </c>
      <c r="H106" s="5">
        <f>IF(AND(A106&gt;=1,A106&lt;='Scenarios_10'!B11),MAX(0,(MAX(0,'Scenarios_10'!D11-'Scenarios_10'!E11/'Scenarios_10'!B11))-IF(AND(A106&gt;'Scenarios_10'!B11-4,A106&lt;='Scenarios_10'!B11),'Scenarios_10'!F11,0)),0)</f>
        <v>2139146.0</v>
      </c>
      <c r="I106" s="5">
        <f>IF(A106=0,'Scenarios_10'!E11,0)</f>
        <v>0.0</v>
      </c>
      <c r="J106" s="5">
        <f>IF(A106=0,0,IF('Scenarios_10'!C11="uniform_pct",INDEX('Inputs_Data_Raw'!E:E,5+A106)*(1-MIN('Scenarios_10'!G11,'Assumptions'!B9)),IF('Scenarios_10'!C11="electricity_only_pct",INDEX('Inputs_Data_Raw'!C:C,5+A106)*(1-MIN('Scenarios_10'!G11,'Assumptions'!B9))+INDEX('Inputs_Data_Raw'!D:D,5+A106),INDEX('Inputs_Data_Raw'!D:D,5+A106)*(1-AVERAGE('Assumptions'!B5,'Assumptions'!B6,'Assumptions'!B7,'Assumptions'!B8)))))</f>
        <v>1228500.0</v>
      </c>
      <c r="K106" s="5">
        <f>G106+H106+I106-J106</f>
        <v>910646.0</v>
      </c>
      <c r="L106" s="5">
        <f>L105+K106</f>
        <v>7067060.0</v>
      </c>
    </row>
    <row r="109" spans="1:12">
      <c r="A109" s="3" t="s">
        <v>108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>
      <c r="A110" s="6" t="s">
        <v>90</v>
      </c>
      <c r="B110" s="6" t="s">
        <v>91</v>
      </c>
      <c r="C110" s="6" t="s">
        <v>92</v>
      </c>
      <c r="D110" s="6" t="s">
        <v>93</v>
      </c>
      <c r="E110" s="6" t="s">
        <v>94</v>
      </c>
      <c r="F110" s="6" t="s">
        <v>95</v>
      </c>
      <c r="G110" s="6" t="s">
        <v>96</v>
      </c>
      <c r="H110" s="6" t="s">
        <v>97</v>
      </c>
      <c r="I110" s="6" t="s">
        <v>98</v>
      </c>
      <c r="J110" s="6" t="s">
        <v>99</v>
      </c>
      <c r="K110" s="6" t="s">
        <v>100</v>
      </c>
      <c r="L110" s="6" t="s">
        <v>101</v>
      </c>
    </row>
    <row r="111" spans="1:12">
      <c r="A111" s="8">
        <v>0</v>
      </c>
      <c r="B111" s="5">
        <f>IF(A111=0,-'Inputs_Data_Raw'!H5,0)</f>
        <v>-3539400.0</v>
      </c>
      <c r="C111" s="5">
        <f>IF(A111=0,0,INDEX('Inputs_Data_Raw'!B:B, 5+A111))</f>
        <v>0.0</v>
      </c>
      <c r="D111" s="5">
        <f>IF(A111=0,0,INDEX('Inputs_Data_Raw'!E:E, 5+A111))</f>
        <v>0.0</v>
      </c>
      <c r="E111" s="5">
        <f>B111+C111-D111</f>
        <v>-3539400.0</v>
      </c>
      <c r="F111" s="5">
        <f>E111</f>
        <v>-3539400.0</v>
      </c>
      <c r="G111" s="5">
        <f>IF(A111=0,-'Inputs_Data_Raw'!H5,0)</f>
        <v>-3539400.0</v>
      </c>
      <c r="H111" s="5">
        <f>IF(AND(A111&gt;=1,A111&lt;='Scenarios_10'!B12),MAX(0,(MAX(0,'Scenarios_10'!D12-'Scenarios_10'!E12/'Scenarios_10'!B12))-IF(AND(A111&gt;'Scenarios_10'!B12-4,A111&lt;='Scenarios_10'!B12),'Scenarios_10'!F12,0)),0)</f>
        <v>0.0</v>
      </c>
      <c r="I111" s="5">
        <f>IF(A111=0,'Scenarios_10'!E12,0)</f>
        <v>0.0</v>
      </c>
      <c r="J111" s="5">
        <f>IF(A111=0,0,IF('Scenarios_10'!C12="uniform_pct",INDEX('Inputs_Data_Raw'!E:E,5+A111)*(1-MIN('Scenarios_10'!G12,'Assumptions'!B9)),IF('Scenarios_10'!C12="electricity_only_pct",INDEX('Inputs_Data_Raw'!C:C,5+A111)*(1-MIN('Scenarios_10'!G12,'Assumptions'!B9))+INDEX('Inputs_Data_Raw'!D:D,5+A111),INDEX('Inputs_Data_Raw'!D:D,5+A111)*(1-AVERAGE('Assumptions'!B5,'Assumptions'!B6,'Assumptions'!B7,'Assumptions'!B8)))))</f>
        <v>0.0</v>
      </c>
      <c r="K111" s="5">
        <f>G111+H111+I111-J111</f>
        <v>-3539400.0</v>
      </c>
      <c r="L111" s="5">
        <f>K111</f>
        <v>-3539400.0</v>
      </c>
    </row>
    <row r="112" spans="1:12">
      <c r="A112" s="8">
        <v>1</v>
      </c>
      <c r="B112" s="5">
        <f>IF(A112=0,-'Inputs_Data_Raw'!H5,0)</f>
        <v>0.0</v>
      </c>
      <c r="C112" s="5">
        <f>IF(A112=0,0,INDEX('Inputs_Data_Raw'!B:B, 5+A112))</f>
        <v>2342300.0</v>
      </c>
      <c r="D112" s="5">
        <f>IF(A112=0,0,INDEX('Inputs_Data_Raw'!E:E, 5+A112))</f>
        <v>1638000.0</v>
      </c>
      <c r="E112" s="5">
        <f>B112+C112-D112</f>
        <v>704300.0</v>
      </c>
      <c r="F112" s="5">
        <f>F111+E112</f>
        <v>-2835100.0</v>
      </c>
      <c r="G112" s="5">
        <f>IF(A112=0,-'Inputs_Data_Raw'!H5,0)</f>
        <v>0.0</v>
      </c>
      <c r="H112" s="5">
        <f>IF(AND(A112&gt;=1,A112&lt;='Scenarios_10'!B12),MAX(0,(MAX(0,'Scenarios_10'!D12-'Scenarios_10'!E12/'Scenarios_10'!B12))-IF(AND(A112&gt;'Scenarios_10'!B12-4,A112&lt;='Scenarios_10'!B12),'Scenarios_10'!F12,0)),0)</f>
        <v>2529684.0</v>
      </c>
      <c r="I112" s="5">
        <f>IF(A112=0,'Scenarios_10'!E12,0)</f>
        <v>0.0</v>
      </c>
      <c r="J112" s="5">
        <f>IF(A112=0,0,IF('Scenarios_10'!C12="uniform_pct",INDEX('Inputs_Data_Raw'!E:E,5+A112)*(1-MIN('Scenarios_10'!G12,'Assumptions'!B9)),IF('Scenarios_10'!C12="electricity_only_pct",INDEX('Inputs_Data_Raw'!C:C,5+A112)*(1-MIN('Scenarios_10'!G12,'Assumptions'!B9))+INDEX('Inputs_Data_Raw'!D:D,5+A112),INDEX('Inputs_Data_Raw'!D:D,5+A112)*(1-AVERAGE('Assumptions'!B5,'Assumptions'!B6,'Assumptions'!B7,'Assumptions'!B8)))))</f>
        <v>1146600.0</v>
      </c>
      <c r="K112" s="5">
        <f>G112+H112+I112-J112</f>
        <v>1383084.0</v>
      </c>
      <c r="L112" s="5">
        <f>L111+K112</f>
        <v>-2156316.0</v>
      </c>
    </row>
    <row r="113" spans="1:12">
      <c r="A113" s="8">
        <v>2</v>
      </c>
      <c r="B113" s="5">
        <f>IF(A113=0,-'Inputs_Data_Raw'!H5,0)</f>
        <v>0.0</v>
      </c>
      <c r="C113" s="5">
        <f>IF(A113=0,0,INDEX('Inputs_Data_Raw'!B:B, 5+A113))</f>
        <v>2342300.0</v>
      </c>
      <c r="D113" s="5">
        <f>IF(A113=0,0,INDEX('Inputs_Data_Raw'!E:E, 5+A113))</f>
        <v>1638000.0</v>
      </c>
      <c r="E113" s="5">
        <f>B113+C113-D113</f>
        <v>704300.0</v>
      </c>
      <c r="F113" s="5">
        <f>F112+E113</f>
        <v>-2130800.0</v>
      </c>
      <c r="G113" s="5">
        <f>IF(A113=0,-'Inputs_Data_Raw'!H5,0)</f>
        <v>0.0</v>
      </c>
      <c r="H113" s="5">
        <f>IF(AND(A113&gt;=1,A113&lt;='Scenarios_10'!B12),MAX(0,(MAX(0,'Scenarios_10'!D12-'Scenarios_10'!E12/'Scenarios_10'!B12))-IF(AND(A113&gt;'Scenarios_10'!B12-4,A113&lt;='Scenarios_10'!B12),'Scenarios_10'!F12,0)),0)</f>
        <v>2529684.0</v>
      </c>
      <c r="I113" s="5">
        <f>IF(A113=0,'Scenarios_10'!E12,0)</f>
        <v>0.0</v>
      </c>
      <c r="J113" s="5">
        <f>IF(A113=0,0,IF('Scenarios_10'!C12="uniform_pct",INDEX('Inputs_Data_Raw'!E:E,5+A113)*(1-MIN('Scenarios_10'!G12,'Assumptions'!B9)),IF('Scenarios_10'!C12="electricity_only_pct",INDEX('Inputs_Data_Raw'!C:C,5+A113)*(1-MIN('Scenarios_10'!G12,'Assumptions'!B9))+INDEX('Inputs_Data_Raw'!D:D,5+A113),INDEX('Inputs_Data_Raw'!D:D,5+A113)*(1-AVERAGE('Assumptions'!B5,'Assumptions'!B6,'Assumptions'!B7,'Assumptions'!B8)))))</f>
        <v>1146600.0</v>
      </c>
      <c r="K113" s="5">
        <f>G113+H113+I113-J113</f>
        <v>1383084.0</v>
      </c>
      <c r="L113" s="5">
        <f>L112+K113</f>
        <v>-773232.0</v>
      </c>
    </row>
    <row r="114" spans="1:12">
      <c r="A114" s="8">
        <v>3</v>
      </c>
      <c r="B114" s="5">
        <f>IF(A114=0,-'Inputs_Data_Raw'!H5,0)</f>
        <v>0.0</v>
      </c>
      <c r="C114" s="5">
        <f>IF(A114=0,0,INDEX('Inputs_Data_Raw'!B:B, 5+A114))</f>
        <v>2342300.0</v>
      </c>
      <c r="D114" s="5">
        <f>IF(A114=0,0,INDEX('Inputs_Data_Raw'!E:E, 5+A114))</f>
        <v>1638000.0</v>
      </c>
      <c r="E114" s="5">
        <f>B114+C114-D114</f>
        <v>704300.0</v>
      </c>
      <c r="F114" s="5">
        <f>F113+E114</f>
        <v>-1426500.0</v>
      </c>
      <c r="G114" s="5">
        <f>IF(A114=0,-'Inputs_Data_Raw'!H5,0)</f>
        <v>0.0</v>
      </c>
      <c r="H114" s="5">
        <f>IF(AND(A114&gt;=1,A114&lt;='Scenarios_10'!B12),MAX(0,(MAX(0,'Scenarios_10'!D12-'Scenarios_10'!E12/'Scenarios_10'!B12))-IF(AND(A114&gt;'Scenarios_10'!B12-4,A114&lt;='Scenarios_10'!B12),'Scenarios_10'!F12,0)),0)</f>
        <v>2529684.0</v>
      </c>
      <c r="I114" s="5">
        <f>IF(A114=0,'Scenarios_10'!E12,0)</f>
        <v>0.0</v>
      </c>
      <c r="J114" s="5">
        <f>IF(A114=0,0,IF('Scenarios_10'!C12="uniform_pct",INDEX('Inputs_Data_Raw'!E:E,5+A114)*(1-MIN('Scenarios_10'!G12,'Assumptions'!B9)),IF('Scenarios_10'!C12="electricity_only_pct",INDEX('Inputs_Data_Raw'!C:C,5+A114)*(1-MIN('Scenarios_10'!G12,'Assumptions'!B9))+INDEX('Inputs_Data_Raw'!D:D,5+A114),INDEX('Inputs_Data_Raw'!D:D,5+A114)*(1-AVERAGE('Assumptions'!B5,'Assumptions'!B6,'Assumptions'!B7,'Assumptions'!B8)))))</f>
        <v>1146600.0</v>
      </c>
      <c r="K114" s="5">
        <f>G114+H114+I114-J114</f>
        <v>1383084.0</v>
      </c>
      <c r="L114" s="5">
        <f>L113+K114</f>
        <v>609852.0</v>
      </c>
    </row>
    <row r="115" spans="1:12">
      <c r="A115" s="8">
        <v>4</v>
      </c>
      <c r="B115" s="5">
        <f>IF(A115=0,-'Inputs_Data_Raw'!H5,0)</f>
        <v>0.0</v>
      </c>
      <c r="C115" s="5">
        <f>IF(A115=0,0,INDEX('Inputs_Data_Raw'!B:B, 5+A115))</f>
        <v>2342300.0</v>
      </c>
      <c r="D115" s="5">
        <f>IF(A115=0,0,INDEX('Inputs_Data_Raw'!E:E, 5+A115))</f>
        <v>1638000.0</v>
      </c>
      <c r="E115" s="5">
        <f>B115+C115-D115</f>
        <v>704300.0</v>
      </c>
      <c r="F115" s="5">
        <f>F114+E115</f>
        <v>-722200.0</v>
      </c>
      <c r="G115" s="5">
        <f>IF(A115=0,-'Inputs_Data_Raw'!H5,0)</f>
        <v>0.0</v>
      </c>
      <c r="H115" s="5">
        <f>IF(AND(A115&gt;=1,A115&lt;='Scenarios_10'!B12),MAX(0,(MAX(0,'Scenarios_10'!D12-'Scenarios_10'!E12/'Scenarios_10'!B12))-IF(AND(A115&gt;'Scenarios_10'!B12-4,A115&lt;='Scenarios_10'!B12),'Scenarios_10'!F12,0)),0)</f>
        <v>2529684.0</v>
      </c>
      <c r="I115" s="5">
        <f>IF(A115=0,'Scenarios_10'!E12,0)</f>
        <v>0.0</v>
      </c>
      <c r="J115" s="5">
        <f>IF(A115=0,0,IF('Scenarios_10'!C12="uniform_pct",INDEX('Inputs_Data_Raw'!E:E,5+A115)*(1-MIN('Scenarios_10'!G12,'Assumptions'!B9)),IF('Scenarios_10'!C12="electricity_only_pct",INDEX('Inputs_Data_Raw'!C:C,5+A115)*(1-MIN('Scenarios_10'!G12,'Assumptions'!B9))+INDEX('Inputs_Data_Raw'!D:D,5+A115),INDEX('Inputs_Data_Raw'!D:D,5+A115)*(1-AVERAGE('Assumptions'!B5,'Assumptions'!B6,'Assumptions'!B7,'Assumptions'!B8)))))</f>
        <v>1146600.0</v>
      </c>
      <c r="K115" s="5">
        <f>G115+H115+I115-J115</f>
        <v>1383084.0</v>
      </c>
      <c r="L115" s="5">
        <f>L114+K115</f>
        <v>1992936.0</v>
      </c>
    </row>
    <row r="116" spans="1:12">
      <c r="A116" s="8">
        <v>5</v>
      </c>
      <c r="B116" s="5">
        <f>IF(A116=0,-'Inputs_Data_Raw'!H5,0)</f>
        <v>0.0</v>
      </c>
      <c r="C116" s="5">
        <f>IF(A116=0,0,INDEX('Inputs_Data_Raw'!B:B, 5+A116))</f>
        <v>2342300.0</v>
      </c>
      <c r="D116" s="5">
        <f>IF(A116=0,0,INDEX('Inputs_Data_Raw'!E:E, 5+A116))</f>
        <v>1638000.0</v>
      </c>
      <c r="E116" s="5">
        <f>B116+C116-D116</f>
        <v>704300.0</v>
      </c>
      <c r="F116" s="5">
        <f>F115+E116</f>
        <v>-17900.0</v>
      </c>
      <c r="G116" s="5">
        <f>IF(A116=0,-'Inputs_Data_Raw'!H5,0)</f>
        <v>0.0</v>
      </c>
      <c r="H116" s="5">
        <f>IF(AND(A116&gt;=1,A116&lt;='Scenarios_10'!B12),MAX(0,(MAX(0,'Scenarios_10'!D12-'Scenarios_10'!E12/'Scenarios_10'!B12))-IF(AND(A116&gt;'Scenarios_10'!B12-4,A116&lt;='Scenarios_10'!B12),'Scenarios_10'!F12,0)),0)</f>
        <v>2529684.0</v>
      </c>
      <c r="I116" s="5">
        <f>IF(A116=0,'Scenarios_10'!E12,0)</f>
        <v>0.0</v>
      </c>
      <c r="J116" s="5">
        <f>IF(A116=0,0,IF('Scenarios_10'!C12="uniform_pct",INDEX('Inputs_Data_Raw'!E:E,5+A116)*(1-MIN('Scenarios_10'!G12,'Assumptions'!B9)),IF('Scenarios_10'!C12="electricity_only_pct",INDEX('Inputs_Data_Raw'!C:C,5+A116)*(1-MIN('Scenarios_10'!G12,'Assumptions'!B9))+INDEX('Inputs_Data_Raw'!D:D,5+A116),INDEX('Inputs_Data_Raw'!D:D,5+A116)*(1-AVERAGE('Assumptions'!B5,'Assumptions'!B6,'Assumptions'!B7,'Assumptions'!B8)))))</f>
        <v>1146600.0</v>
      </c>
      <c r="K116" s="5">
        <f>G116+H116+I116-J116</f>
        <v>1383084.0</v>
      </c>
      <c r="L116" s="5">
        <f>L115+K116</f>
        <v>3376020.0</v>
      </c>
    </row>
    <row r="117" spans="1:12">
      <c r="A117" s="8">
        <v>6</v>
      </c>
      <c r="B117" s="5">
        <f>IF(A117=0,-'Inputs_Data_Raw'!H5,0)</f>
        <v>0.0</v>
      </c>
      <c r="C117" s="5">
        <f>IF(A117=0,0,INDEX('Inputs_Data_Raw'!B:B, 5+A117))</f>
        <v>2342300.0</v>
      </c>
      <c r="D117" s="5">
        <f>IF(A117=0,0,INDEX('Inputs_Data_Raw'!E:E, 5+A117))</f>
        <v>1638000.0</v>
      </c>
      <c r="E117" s="5">
        <f>B117+C117-D117</f>
        <v>704300.0</v>
      </c>
      <c r="F117" s="5">
        <f>F116+E117</f>
        <v>686400.0</v>
      </c>
      <c r="G117" s="5">
        <f>IF(A117=0,-'Inputs_Data_Raw'!H5,0)</f>
        <v>0.0</v>
      </c>
      <c r="H117" s="5">
        <f>IF(AND(A117&gt;=1,A117&lt;='Scenarios_10'!B12),MAX(0,(MAX(0,'Scenarios_10'!D12-'Scenarios_10'!E12/'Scenarios_10'!B12))-IF(AND(A117&gt;'Scenarios_10'!B12-4,A117&lt;='Scenarios_10'!B12),'Scenarios_10'!F12,0)),0)</f>
        <v>2529684.0</v>
      </c>
      <c r="I117" s="5">
        <f>IF(A117=0,'Scenarios_10'!E12,0)</f>
        <v>0.0</v>
      </c>
      <c r="J117" s="5">
        <f>IF(A117=0,0,IF('Scenarios_10'!C12="uniform_pct",INDEX('Inputs_Data_Raw'!E:E,5+A117)*(1-MIN('Scenarios_10'!G12,'Assumptions'!B9)),IF('Scenarios_10'!C12="electricity_only_pct",INDEX('Inputs_Data_Raw'!C:C,5+A117)*(1-MIN('Scenarios_10'!G12,'Assumptions'!B9))+INDEX('Inputs_Data_Raw'!D:D,5+A117),INDEX('Inputs_Data_Raw'!D:D,5+A117)*(1-AVERAGE('Assumptions'!B5,'Assumptions'!B6,'Assumptions'!B7,'Assumptions'!B8)))))</f>
        <v>1146600.0</v>
      </c>
      <c r="K117" s="5">
        <f>G117+H117+I117-J117</f>
        <v>1383084.0</v>
      </c>
      <c r="L117" s="5">
        <f>L116+K117</f>
        <v>4759104.0</v>
      </c>
    </row>
    <row r="118" spans="1:12">
      <c r="A118" s="8">
        <v>7</v>
      </c>
      <c r="B118" s="5">
        <f>IF(A118=0,-'Inputs_Data_Raw'!H5,0)</f>
        <v>0.0</v>
      </c>
      <c r="C118" s="5">
        <f>IF(A118=0,0,INDEX('Inputs_Data_Raw'!B:B, 5+A118))</f>
        <v>2342300.0</v>
      </c>
      <c r="D118" s="5">
        <f>IF(A118=0,0,INDEX('Inputs_Data_Raw'!E:E, 5+A118))</f>
        <v>1638000.0</v>
      </c>
      <c r="E118" s="5">
        <f>B118+C118-D118</f>
        <v>704300.0</v>
      </c>
      <c r="F118" s="5">
        <f>F117+E118</f>
        <v>1390700.0</v>
      </c>
      <c r="G118" s="5">
        <f>IF(A118=0,-'Inputs_Data_Raw'!H5,0)</f>
        <v>0.0</v>
      </c>
      <c r="H118" s="5">
        <f>IF(AND(A118&gt;=1,A118&lt;='Scenarios_10'!B12),MAX(0,(MAX(0,'Scenarios_10'!D12-'Scenarios_10'!E12/'Scenarios_10'!B12))-IF(AND(A118&gt;'Scenarios_10'!B12-4,A118&lt;='Scenarios_10'!B12),'Scenarios_10'!F12,0)),0)</f>
        <v>2179684.0</v>
      </c>
      <c r="I118" s="5">
        <f>IF(A118=0,'Scenarios_10'!E12,0)</f>
        <v>0.0</v>
      </c>
      <c r="J118" s="5">
        <f>IF(A118=0,0,IF('Scenarios_10'!C12="uniform_pct",INDEX('Inputs_Data_Raw'!E:E,5+A118)*(1-MIN('Scenarios_10'!G12,'Assumptions'!B9)),IF('Scenarios_10'!C12="electricity_only_pct",INDEX('Inputs_Data_Raw'!C:C,5+A118)*(1-MIN('Scenarios_10'!G12,'Assumptions'!B9))+INDEX('Inputs_Data_Raw'!D:D,5+A118),INDEX('Inputs_Data_Raw'!D:D,5+A118)*(1-AVERAGE('Assumptions'!B5,'Assumptions'!B6,'Assumptions'!B7,'Assumptions'!B8)))))</f>
        <v>1146600.0</v>
      </c>
      <c r="K118" s="5">
        <f>G118+H118+I118-J118</f>
        <v>1033084.0</v>
      </c>
      <c r="L118" s="5">
        <f>L117+K118</f>
        <v>5792188.0</v>
      </c>
    </row>
    <row r="119" spans="1:12">
      <c r="A119" s="8">
        <v>8</v>
      </c>
      <c r="B119" s="5">
        <f>IF(A119=0,-'Inputs_Data_Raw'!H5,0)</f>
        <v>0.0</v>
      </c>
      <c r="C119" s="5">
        <f>IF(A119=0,0,INDEX('Inputs_Data_Raw'!B:B, 5+A119))</f>
        <v>2342300.0</v>
      </c>
      <c r="D119" s="5">
        <f>IF(A119=0,0,INDEX('Inputs_Data_Raw'!E:E, 5+A119))</f>
        <v>1638000.0</v>
      </c>
      <c r="E119" s="5">
        <f>B119+C119-D119</f>
        <v>704300.0</v>
      </c>
      <c r="F119" s="5">
        <f>F118+E119</f>
        <v>2095000.0</v>
      </c>
      <c r="G119" s="5">
        <f>IF(A119=0,-'Inputs_Data_Raw'!H5,0)</f>
        <v>0.0</v>
      </c>
      <c r="H119" s="5">
        <f>IF(AND(A119&gt;=1,A119&lt;='Scenarios_10'!B12),MAX(0,(MAX(0,'Scenarios_10'!D12-'Scenarios_10'!E12/'Scenarios_10'!B12))-IF(AND(A119&gt;'Scenarios_10'!B12-4,A119&lt;='Scenarios_10'!B12),'Scenarios_10'!F12,0)),0)</f>
        <v>2179684.0</v>
      </c>
      <c r="I119" s="5">
        <f>IF(A119=0,'Scenarios_10'!E12,0)</f>
        <v>0.0</v>
      </c>
      <c r="J119" s="5">
        <f>IF(A119=0,0,IF('Scenarios_10'!C12="uniform_pct",INDEX('Inputs_Data_Raw'!E:E,5+A119)*(1-MIN('Scenarios_10'!G12,'Assumptions'!B9)),IF('Scenarios_10'!C12="electricity_only_pct",INDEX('Inputs_Data_Raw'!C:C,5+A119)*(1-MIN('Scenarios_10'!G12,'Assumptions'!B9))+INDEX('Inputs_Data_Raw'!D:D,5+A119),INDEX('Inputs_Data_Raw'!D:D,5+A119)*(1-AVERAGE('Assumptions'!B5,'Assumptions'!B6,'Assumptions'!B7,'Assumptions'!B8)))))</f>
        <v>1146600.0</v>
      </c>
      <c r="K119" s="5">
        <f>G119+H119+I119-J119</f>
        <v>1033084.0</v>
      </c>
      <c r="L119" s="5">
        <f>L118+K119</f>
        <v>6825272.0</v>
      </c>
    </row>
    <row r="120" spans="1:12">
      <c r="A120" s="8">
        <v>9</v>
      </c>
      <c r="B120" s="5">
        <f>IF(A120=0,-'Inputs_Data_Raw'!H5,0)</f>
        <v>0.0</v>
      </c>
      <c r="C120" s="5">
        <f>IF(A120=0,0,INDEX('Inputs_Data_Raw'!B:B, 5+A120))</f>
        <v>2342300.0</v>
      </c>
      <c r="D120" s="5">
        <f>IF(A120=0,0,INDEX('Inputs_Data_Raw'!E:E, 5+A120))</f>
        <v>1638000.0</v>
      </c>
      <c r="E120" s="5">
        <f>B120+C120-D120</f>
        <v>704300.0</v>
      </c>
      <c r="F120" s="5">
        <f>F119+E120</f>
        <v>2799300.0</v>
      </c>
      <c r="G120" s="5">
        <f>IF(A120=0,-'Inputs_Data_Raw'!H5,0)</f>
        <v>0.0</v>
      </c>
      <c r="H120" s="5">
        <f>IF(AND(A120&gt;=1,A120&lt;='Scenarios_10'!B12),MAX(0,(MAX(0,'Scenarios_10'!D12-'Scenarios_10'!E12/'Scenarios_10'!B12))-IF(AND(A120&gt;'Scenarios_10'!B12-4,A120&lt;='Scenarios_10'!B12),'Scenarios_10'!F12,0)),0)</f>
        <v>2179684.0</v>
      </c>
      <c r="I120" s="5">
        <f>IF(A120=0,'Scenarios_10'!E12,0)</f>
        <v>0.0</v>
      </c>
      <c r="J120" s="5">
        <f>IF(A120=0,0,IF('Scenarios_10'!C12="uniform_pct",INDEX('Inputs_Data_Raw'!E:E,5+A120)*(1-MIN('Scenarios_10'!G12,'Assumptions'!B9)),IF('Scenarios_10'!C12="electricity_only_pct",INDEX('Inputs_Data_Raw'!C:C,5+A120)*(1-MIN('Scenarios_10'!G12,'Assumptions'!B9))+INDEX('Inputs_Data_Raw'!D:D,5+A120),INDEX('Inputs_Data_Raw'!D:D,5+A120)*(1-AVERAGE('Assumptions'!B5,'Assumptions'!B6,'Assumptions'!B7,'Assumptions'!B8)))))</f>
        <v>1146600.0</v>
      </c>
      <c r="K120" s="5">
        <f>G120+H120+I120-J120</f>
        <v>1033084.0</v>
      </c>
      <c r="L120" s="5">
        <f>L119+K120</f>
        <v>7858356.0</v>
      </c>
    </row>
    <row r="121" spans="1:12">
      <c r="A121" s="8">
        <v>10</v>
      </c>
      <c r="B121" s="5">
        <f>IF(A121=0,-'Inputs_Data_Raw'!H5,0)</f>
        <v>0.0</v>
      </c>
      <c r="C121" s="5">
        <f>IF(A121=0,0,INDEX('Inputs_Data_Raw'!B:B, 5+A121))</f>
        <v>2342300.0</v>
      </c>
      <c r="D121" s="5">
        <f>IF(A121=0,0,INDEX('Inputs_Data_Raw'!E:E, 5+A121))</f>
        <v>1638000.0</v>
      </c>
      <c r="E121" s="5">
        <f>B121+C121-D121</f>
        <v>704300.0</v>
      </c>
      <c r="F121" s="5">
        <f>F120+E121</f>
        <v>3503600.0</v>
      </c>
      <c r="G121" s="5">
        <f>IF(A121=0,-'Inputs_Data_Raw'!H5,0)</f>
        <v>0.0</v>
      </c>
      <c r="H121" s="5">
        <f>IF(AND(A121&gt;=1,A121&lt;='Scenarios_10'!B12),MAX(0,(MAX(0,'Scenarios_10'!D12-'Scenarios_10'!E12/'Scenarios_10'!B12))-IF(AND(A121&gt;'Scenarios_10'!B12-4,A121&lt;='Scenarios_10'!B12),'Scenarios_10'!F12,0)),0)</f>
        <v>2179684.0</v>
      </c>
      <c r="I121" s="5">
        <f>IF(A121=0,'Scenarios_10'!E12,0)</f>
        <v>0.0</v>
      </c>
      <c r="J121" s="5">
        <f>IF(A121=0,0,IF('Scenarios_10'!C12="uniform_pct",INDEX('Inputs_Data_Raw'!E:E,5+A121)*(1-MIN('Scenarios_10'!G12,'Assumptions'!B9)),IF('Scenarios_10'!C12="electricity_only_pct",INDEX('Inputs_Data_Raw'!C:C,5+A121)*(1-MIN('Scenarios_10'!G12,'Assumptions'!B9))+INDEX('Inputs_Data_Raw'!D:D,5+A121),INDEX('Inputs_Data_Raw'!D:D,5+A121)*(1-AVERAGE('Assumptions'!B5,'Assumptions'!B6,'Assumptions'!B7,'Assumptions'!B8)))))</f>
        <v>1146600.0</v>
      </c>
      <c r="K121" s="5">
        <f>G121+H121+I121-J121</f>
        <v>1033084.0</v>
      </c>
      <c r="L121" s="5">
        <f>L120+K121</f>
        <v>8891440.0</v>
      </c>
    </row>
    <row r="124" spans="1:12">
      <c r="A124" s="3" t="s">
        <v>109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>
      <c r="A125" s="6" t="s">
        <v>90</v>
      </c>
      <c r="B125" s="6" t="s">
        <v>91</v>
      </c>
      <c r="C125" s="6" t="s">
        <v>92</v>
      </c>
      <c r="D125" s="6" t="s">
        <v>93</v>
      </c>
      <c r="E125" s="6" t="s">
        <v>94</v>
      </c>
      <c r="F125" s="6" t="s">
        <v>95</v>
      </c>
      <c r="G125" s="6" t="s">
        <v>96</v>
      </c>
      <c r="H125" s="6" t="s">
        <v>97</v>
      </c>
      <c r="I125" s="6" t="s">
        <v>98</v>
      </c>
      <c r="J125" s="6" t="s">
        <v>99</v>
      </c>
      <c r="K125" s="6" t="s">
        <v>100</v>
      </c>
      <c r="L125" s="6" t="s">
        <v>101</v>
      </c>
    </row>
    <row r="126" spans="1:12">
      <c r="A126" s="8">
        <v>0</v>
      </c>
      <c r="B126" s="5">
        <f>IF(A126=0,-'Inputs_Data_Raw'!H5,0)</f>
        <v>-3539400.0</v>
      </c>
      <c r="C126" s="5">
        <f>IF(A126=0,0,INDEX('Inputs_Data_Raw'!B:B, 5+A126))</f>
        <v>0.0</v>
      </c>
      <c r="D126" s="5">
        <f>IF(A126=0,0,INDEX('Inputs_Data_Raw'!E:E, 5+A126))</f>
        <v>0.0</v>
      </c>
      <c r="E126" s="5">
        <f>B126+C126-D126</f>
        <v>-3539400.0</v>
      </c>
      <c r="F126" s="5">
        <f>E126</f>
        <v>-3539400.0</v>
      </c>
      <c r="G126" s="5">
        <f>IF(A126=0,-'Inputs_Data_Raw'!H5,0)</f>
        <v>-3539400.0</v>
      </c>
      <c r="H126" s="5">
        <f>IF(AND(A126&gt;=1,A126&lt;='Scenarios_10'!B13),MAX(0,(MAX(0,'Scenarios_10'!D13-'Scenarios_10'!E13/'Scenarios_10'!B13))-IF(AND(A126&gt;'Scenarios_10'!B13-4,A126&lt;='Scenarios_10'!B13),'Scenarios_10'!F13,0)),0)</f>
        <v>0.0</v>
      </c>
      <c r="I126" s="5">
        <f>IF(A126=0,'Scenarios_10'!E13,0)</f>
        <v>500000.0</v>
      </c>
      <c r="J126" s="5">
        <f>IF(A126=0,0,IF('Scenarios_10'!C13="uniform_pct",INDEX('Inputs_Data_Raw'!E:E,5+A126)*(1-MIN('Scenarios_10'!G13,'Assumptions'!B9)),IF('Scenarios_10'!C13="electricity_only_pct",INDEX('Inputs_Data_Raw'!C:C,5+A126)*(1-MIN('Scenarios_10'!G13,'Assumptions'!B9))+INDEX('Inputs_Data_Raw'!D:D,5+A126),INDEX('Inputs_Data_Raw'!D:D,5+A126)*(1-AVERAGE('Assumptions'!B5,'Assumptions'!B6,'Assumptions'!B7,'Assumptions'!B8)))))</f>
        <v>0.0</v>
      </c>
      <c r="K126" s="5">
        <f>G126+H126+I126-J126</f>
        <v>-3039400.0</v>
      </c>
      <c r="L126" s="5">
        <f>K126</f>
        <v>-3039400.0</v>
      </c>
    </row>
    <row r="127" spans="1:12">
      <c r="A127" s="8">
        <v>1</v>
      </c>
      <c r="B127" s="5">
        <f>IF(A127=0,-'Inputs_Data_Raw'!H5,0)</f>
        <v>0.0</v>
      </c>
      <c r="C127" s="5">
        <f>IF(A127=0,0,INDEX('Inputs_Data_Raw'!B:B, 5+A127))</f>
        <v>2342300.0</v>
      </c>
      <c r="D127" s="5">
        <f>IF(A127=0,0,INDEX('Inputs_Data_Raw'!E:E, 5+A127))</f>
        <v>1638000.0</v>
      </c>
      <c r="E127" s="5">
        <f>B127+C127-D127</f>
        <v>704300.0</v>
      </c>
      <c r="F127" s="5">
        <f>F126+E127</f>
        <v>-2835100.0</v>
      </c>
      <c r="G127" s="5">
        <f>IF(A127=0,-'Inputs_Data_Raw'!H5,0)</f>
        <v>0.0</v>
      </c>
      <c r="H127" s="5">
        <f>IF(AND(A127&gt;=1,A127&lt;='Scenarios_10'!B13),MAX(0,(MAX(0,'Scenarios_10'!D13-'Scenarios_10'!E13/'Scenarios_10'!B13))-IF(AND(A127&gt;'Scenarios_10'!B13-4,A127&lt;='Scenarios_10'!B13),'Scenarios_10'!F13,0)),0)</f>
        <v>2279800.0</v>
      </c>
      <c r="I127" s="5">
        <f>IF(A127=0,'Scenarios_10'!E13,0)</f>
        <v>0.0</v>
      </c>
      <c r="J127" s="5">
        <f>IF(A127=0,0,IF('Scenarios_10'!C13="uniform_pct",INDEX('Inputs_Data_Raw'!E:E,5+A127)*(1-MIN('Scenarios_10'!G13,'Assumptions'!B9)),IF('Scenarios_10'!C13="electricity_only_pct",INDEX('Inputs_Data_Raw'!C:C,5+A127)*(1-MIN('Scenarios_10'!G13,'Assumptions'!B9))+INDEX('Inputs_Data_Raw'!D:D,5+A127),INDEX('Inputs_Data_Raw'!D:D,5+A127)*(1-AVERAGE('Assumptions'!B5,'Assumptions'!B6,'Assumptions'!B7,'Assumptions'!B8)))))</f>
        <v>1146600.0</v>
      </c>
      <c r="K127" s="5">
        <f>G127+H127+I127-J127</f>
        <v>1133200.0</v>
      </c>
      <c r="L127" s="5">
        <f>L126+K127</f>
        <v>-1906200.0</v>
      </c>
    </row>
    <row r="128" spans="1:12">
      <c r="A128" s="8">
        <v>2</v>
      </c>
      <c r="B128" s="5">
        <f>IF(A128=0,-'Inputs_Data_Raw'!H5,0)</f>
        <v>0.0</v>
      </c>
      <c r="C128" s="5">
        <f>IF(A128=0,0,INDEX('Inputs_Data_Raw'!B:B, 5+A128))</f>
        <v>2342300.0</v>
      </c>
      <c r="D128" s="5">
        <f>IF(A128=0,0,INDEX('Inputs_Data_Raw'!E:E, 5+A128))</f>
        <v>1638000.0</v>
      </c>
      <c r="E128" s="5">
        <f>B128+C128-D128</f>
        <v>704300.0</v>
      </c>
      <c r="F128" s="5">
        <f>F127+E128</f>
        <v>-2130800.0</v>
      </c>
      <c r="G128" s="5">
        <f>IF(A128=0,-'Inputs_Data_Raw'!H5,0)</f>
        <v>0.0</v>
      </c>
      <c r="H128" s="5">
        <f>IF(AND(A128&gt;=1,A128&lt;='Scenarios_10'!B13),MAX(0,(MAX(0,'Scenarios_10'!D13-'Scenarios_10'!E13/'Scenarios_10'!B13))-IF(AND(A128&gt;'Scenarios_10'!B13-4,A128&lt;='Scenarios_10'!B13),'Scenarios_10'!F13,0)),0)</f>
        <v>2279800.0</v>
      </c>
      <c r="I128" s="5">
        <f>IF(A128=0,'Scenarios_10'!E13,0)</f>
        <v>0.0</v>
      </c>
      <c r="J128" s="5">
        <f>IF(A128=0,0,IF('Scenarios_10'!C13="uniform_pct",INDEX('Inputs_Data_Raw'!E:E,5+A128)*(1-MIN('Scenarios_10'!G13,'Assumptions'!B9)),IF('Scenarios_10'!C13="electricity_only_pct",INDEX('Inputs_Data_Raw'!C:C,5+A128)*(1-MIN('Scenarios_10'!G13,'Assumptions'!B9))+INDEX('Inputs_Data_Raw'!D:D,5+A128),INDEX('Inputs_Data_Raw'!D:D,5+A128)*(1-AVERAGE('Assumptions'!B5,'Assumptions'!B6,'Assumptions'!B7,'Assumptions'!B8)))))</f>
        <v>1146600.0</v>
      </c>
      <c r="K128" s="5">
        <f>G128+H128+I128-J128</f>
        <v>1133200.0</v>
      </c>
      <c r="L128" s="5">
        <f>L127+K128</f>
        <v>-773000.0</v>
      </c>
    </row>
    <row r="129" spans="1:12">
      <c r="A129" s="8">
        <v>3</v>
      </c>
      <c r="B129" s="5">
        <f>IF(A129=0,-'Inputs_Data_Raw'!H5,0)</f>
        <v>0.0</v>
      </c>
      <c r="C129" s="5">
        <f>IF(A129=0,0,INDEX('Inputs_Data_Raw'!B:B, 5+A129))</f>
        <v>2342300.0</v>
      </c>
      <c r="D129" s="5">
        <f>IF(A129=0,0,INDEX('Inputs_Data_Raw'!E:E, 5+A129))</f>
        <v>1638000.0</v>
      </c>
      <c r="E129" s="5">
        <f>B129+C129-D129</f>
        <v>704300.0</v>
      </c>
      <c r="F129" s="5">
        <f>F128+E129</f>
        <v>-1426500.0</v>
      </c>
      <c r="G129" s="5">
        <f>IF(A129=0,-'Inputs_Data_Raw'!H5,0)</f>
        <v>0.0</v>
      </c>
      <c r="H129" s="5">
        <f>IF(AND(A129&gt;=1,A129&lt;='Scenarios_10'!B13),MAX(0,(MAX(0,'Scenarios_10'!D13-'Scenarios_10'!E13/'Scenarios_10'!B13))-IF(AND(A129&gt;'Scenarios_10'!B13-4,A129&lt;='Scenarios_10'!B13),'Scenarios_10'!F13,0)),0)</f>
        <v>2279800.0</v>
      </c>
      <c r="I129" s="5">
        <f>IF(A129=0,'Scenarios_10'!E13,0)</f>
        <v>0.0</v>
      </c>
      <c r="J129" s="5">
        <f>IF(A129=0,0,IF('Scenarios_10'!C13="uniform_pct",INDEX('Inputs_Data_Raw'!E:E,5+A129)*(1-MIN('Scenarios_10'!G13,'Assumptions'!B9)),IF('Scenarios_10'!C13="electricity_only_pct",INDEX('Inputs_Data_Raw'!C:C,5+A129)*(1-MIN('Scenarios_10'!G13,'Assumptions'!B9))+INDEX('Inputs_Data_Raw'!D:D,5+A129),INDEX('Inputs_Data_Raw'!D:D,5+A129)*(1-AVERAGE('Assumptions'!B5,'Assumptions'!B6,'Assumptions'!B7,'Assumptions'!B8)))))</f>
        <v>1146600.0</v>
      </c>
      <c r="K129" s="5">
        <f>G129+H129+I129-J129</f>
        <v>1133200.0</v>
      </c>
      <c r="L129" s="5">
        <f>L128+K129</f>
        <v>360200.0</v>
      </c>
    </row>
    <row r="130" spans="1:12">
      <c r="A130" s="8">
        <v>4</v>
      </c>
      <c r="B130" s="5">
        <f>IF(A130=0,-'Inputs_Data_Raw'!H5,0)</f>
        <v>0.0</v>
      </c>
      <c r="C130" s="5">
        <f>IF(A130=0,0,INDEX('Inputs_Data_Raw'!B:B, 5+A130))</f>
        <v>2342300.0</v>
      </c>
      <c r="D130" s="5">
        <f>IF(A130=0,0,INDEX('Inputs_Data_Raw'!E:E, 5+A130))</f>
        <v>1638000.0</v>
      </c>
      <c r="E130" s="5">
        <f>B130+C130-D130</f>
        <v>704300.0</v>
      </c>
      <c r="F130" s="5">
        <f>F129+E130</f>
        <v>-722200.0</v>
      </c>
      <c r="G130" s="5">
        <f>IF(A130=0,-'Inputs_Data_Raw'!H5,0)</f>
        <v>0.0</v>
      </c>
      <c r="H130" s="5">
        <f>IF(AND(A130&gt;=1,A130&lt;='Scenarios_10'!B13),MAX(0,(MAX(0,'Scenarios_10'!D13-'Scenarios_10'!E13/'Scenarios_10'!B13))-IF(AND(A130&gt;'Scenarios_10'!B13-4,A130&lt;='Scenarios_10'!B13),'Scenarios_10'!F13,0)),0)</f>
        <v>2279800.0</v>
      </c>
      <c r="I130" s="5">
        <f>IF(A130=0,'Scenarios_10'!E13,0)</f>
        <v>0.0</v>
      </c>
      <c r="J130" s="5">
        <f>IF(A130=0,0,IF('Scenarios_10'!C13="uniform_pct",INDEX('Inputs_Data_Raw'!E:E,5+A130)*(1-MIN('Scenarios_10'!G13,'Assumptions'!B9)),IF('Scenarios_10'!C13="electricity_only_pct",INDEX('Inputs_Data_Raw'!C:C,5+A130)*(1-MIN('Scenarios_10'!G13,'Assumptions'!B9))+INDEX('Inputs_Data_Raw'!D:D,5+A130),INDEX('Inputs_Data_Raw'!D:D,5+A130)*(1-AVERAGE('Assumptions'!B5,'Assumptions'!B6,'Assumptions'!B7,'Assumptions'!B8)))))</f>
        <v>1146600.0</v>
      </c>
      <c r="K130" s="5">
        <f>G130+H130+I130-J130</f>
        <v>1133200.0</v>
      </c>
      <c r="L130" s="5">
        <f>L129+K130</f>
        <v>1493400.0</v>
      </c>
    </row>
    <row r="131" spans="1:12">
      <c r="A131" s="8">
        <v>5</v>
      </c>
      <c r="B131" s="5">
        <f>IF(A131=0,-'Inputs_Data_Raw'!H5,0)</f>
        <v>0.0</v>
      </c>
      <c r="C131" s="5">
        <f>IF(A131=0,0,INDEX('Inputs_Data_Raw'!B:B, 5+A131))</f>
        <v>2342300.0</v>
      </c>
      <c r="D131" s="5">
        <f>IF(A131=0,0,INDEX('Inputs_Data_Raw'!E:E, 5+A131))</f>
        <v>1638000.0</v>
      </c>
      <c r="E131" s="5">
        <f>B131+C131-D131</f>
        <v>704300.0</v>
      </c>
      <c r="F131" s="5">
        <f>F130+E131</f>
        <v>-17900.0</v>
      </c>
      <c r="G131" s="5">
        <f>IF(A131=0,-'Inputs_Data_Raw'!H5,0)</f>
        <v>0.0</v>
      </c>
      <c r="H131" s="5">
        <f>IF(AND(A131&gt;=1,A131&lt;='Scenarios_10'!B13),MAX(0,(MAX(0,'Scenarios_10'!D13-'Scenarios_10'!E13/'Scenarios_10'!B13))-IF(AND(A131&gt;'Scenarios_10'!B13-4,A131&lt;='Scenarios_10'!B13),'Scenarios_10'!F13,0)),0)</f>
        <v>2279800.0</v>
      </c>
      <c r="I131" s="5">
        <f>IF(A131=0,'Scenarios_10'!E13,0)</f>
        <v>0.0</v>
      </c>
      <c r="J131" s="5">
        <f>IF(A131=0,0,IF('Scenarios_10'!C13="uniform_pct",INDEX('Inputs_Data_Raw'!E:E,5+A131)*(1-MIN('Scenarios_10'!G13,'Assumptions'!B9)),IF('Scenarios_10'!C13="electricity_only_pct",INDEX('Inputs_Data_Raw'!C:C,5+A131)*(1-MIN('Scenarios_10'!G13,'Assumptions'!B9))+INDEX('Inputs_Data_Raw'!D:D,5+A131),INDEX('Inputs_Data_Raw'!D:D,5+A131)*(1-AVERAGE('Assumptions'!B5,'Assumptions'!B6,'Assumptions'!B7,'Assumptions'!B8)))))</f>
        <v>1146600.0</v>
      </c>
      <c r="K131" s="5">
        <f>G131+H131+I131-J131</f>
        <v>1133200.0</v>
      </c>
      <c r="L131" s="5">
        <f>L130+K131</f>
        <v>2626600.0</v>
      </c>
    </row>
    <row r="132" spans="1:12">
      <c r="A132" s="8">
        <v>6</v>
      </c>
      <c r="B132" s="5">
        <f>IF(A132=0,-'Inputs_Data_Raw'!H5,0)</f>
        <v>0.0</v>
      </c>
      <c r="C132" s="5">
        <f>IF(A132=0,0,INDEX('Inputs_Data_Raw'!B:B, 5+A132))</f>
        <v>2342300.0</v>
      </c>
      <c r="D132" s="5">
        <f>IF(A132=0,0,INDEX('Inputs_Data_Raw'!E:E, 5+A132))</f>
        <v>1638000.0</v>
      </c>
      <c r="E132" s="5">
        <f>B132+C132-D132</f>
        <v>704300.0</v>
      </c>
      <c r="F132" s="5">
        <f>F131+E132</f>
        <v>686400.0</v>
      </c>
      <c r="G132" s="5">
        <f>IF(A132=0,-'Inputs_Data_Raw'!H5,0)</f>
        <v>0.0</v>
      </c>
      <c r="H132" s="5">
        <f>IF(AND(A132&gt;=1,A132&lt;='Scenarios_10'!B13),MAX(0,(MAX(0,'Scenarios_10'!D13-'Scenarios_10'!E13/'Scenarios_10'!B13))-IF(AND(A132&gt;'Scenarios_10'!B13-4,A132&lt;='Scenarios_10'!B13),'Scenarios_10'!F13,0)),0)</f>
        <v>2279800.0</v>
      </c>
      <c r="I132" s="5">
        <f>IF(A132=0,'Scenarios_10'!E13,0)</f>
        <v>0.0</v>
      </c>
      <c r="J132" s="5">
        <f>IF(A132=0,0,IF('Scenarios_10'!C13="uniform_pct",INDEX('Inputs_Data_Raw'!E:E,5+A132)*(1-MIN('Scenarios_10'!G13,'Assumptions'!B9)),IF('Scenarios_10'!C13="electricity_only_pct",INDEX('Inputs_Data_Raw'!C:C,5+A132)*(1-MIN('Scenarios_10'!G13,'Assumptions'!B9))+INDEX('Inputs_Data_Raw'!D:D,5+A132),INDEX('Inputs_Data_Raw'!D:D,5+A132)*(1-AVERAGE('Assumptions'!B5,'Assumptions'!B6,'Assumptions'!B7,'Assumptions'!B8)))))</f>
        <v>1146600.0</v>
      </c>
      <c r="K132" s="5">
        <f>G132+H132+I132-J132</f>
        <v>1133200.0</v>
      </c>
      <c r="L132" s="5">
        <f>L131+K132</f>
        <v>3759800.0</v>
      </c>
    </row>
    <row r="133" spans="1:12">
      <c r="A133" s="8">
        <v>7</v>
      </c>
      <c r="B133" s="5">
        <f>IF(A133=0,-'Inputs_Data_Raw'!H5,0)</f>
        <v>0.0</v>
      </c>
      <c r="C133" s="5">
        <f>IF(A133=0,0,INDEX('Inputs_Data_Raw'!B:B, 5+A133))</f>
        <v>2342300.0</v>
      </c>
      <c r="D133" s="5">
        <f>IF(A133=0,0,INDEX('Inputs_Data_Raw'!E:E, 5+A133))</f>
        <v>1638000.0</v>
      </c>
      <c r="E133" s="5">
        <f>B133+C133-D133</f>
        <v>704300.0</v>
      </c>
      <c r="F133" s="5">
        <f>F132+E133</f>
        <v>1390700.0</v>
      </c>
      <c r="G133" s="5">
        <f>IF(A133=0,-'Inputs_Data_Raw'!H5,0)</f>
        <v>0.0</v>
      </c>
      <c r="H133" s="5">
        <f>IF(AND(A133&gt;=1,A133&lt;='Scenarios_10'!B13),MAX(0,(MAX(0,'Scenarios_10'!D13-'Scenarios_10'!E13/'Scenarios_10'!B13))-IF(AND(A133&gt;'Scenarios_10'!B13-4,A133&lt;='Scenarios_10'!B13),'Scenarios_10'!F13,0)),0)</f>
        <v>2279800.0</v>
      </c>
      <c r="I133" s="5">
        <f>IF(A133=0,'Scenarios_10'!E13,0)</f>
        <v>0.0</v>
      </c>
      <c r="J133" s="5">
        <f>IF(A133=0,0,IF('Scenarios_10'!C13="uniform_pct",INDEX('Inputs_Data_Raw'!E:E,5+A133)*(1-MIN('Scenarios_10'!G13,'Assumptions'!B9)),IF('Scenarios_10'!C13="electricity_only_pct",INDEX('Inputs_Data_Raw'!C:C,5+A133)*(1-MIN('Scenarios_10'!G13,'Assumptions'!B9))+INDEX('Inputs_Data_Raw'!D:D,5+A133),INDEX('Inputs_Data_Raw'!D:D,5+A133)*(1-AVERAGE('Assumptions'!B5,'Assumptions'!B6,'Assumptions'!B7,'Assumptions'!B8)))))</f>
        <v>1146600.0</v>
      </c>
      <c r="K133" s="5">
        <f>G133+H133+I133-J133</f>
        <v>1133200.0</v>
      </c>
      <c r="L133" s="5">
        <f>L132+K133</f>
        <v>4893000.0</v>
      </c>
    </row>
    <row r="134" spans="1:12">
      <c r="A134" s="8">
        <v>8</v>
      </c>
      <c r="B134" s="5">
        <f>IF(A134=0,-'Inputs_Data_Raw'!H5,0)</f>
        <v>0.0</v>
      </c>
      <c r="C134" s="5">
        <f>IF(A134=0,0,INDEX('Inputs_Data_Raw'!B:B, 5+A134))</f>
        <v>2342300.0</v>
      </c>
      <c r="D134" s="5">
        <f>IF(A134=0,0,INDEX('Inputs_Data_Raw'!E:E, 5+A134))</f>
        <v>1638000.0</v>
      </c>
      <c r="E134" s="5">
        <f>B134+C134-D134</f>
        <v>704300.0</v>
      </c>
      <c r="F134" s="5">
        <f>F133+E134</f>
        <v>2095000.0</v>
      </c>
      <c r="G134" s="5">
        <f>IF(A134=0,-'Inputs_Data_Raw'!H5,0)</f>
        <v>0.0</v>
      </c>
      <c r="H134" s="5">
        <f>IF(AND(A134&gt;=1,A134&lt;='Scenarios_10'!B13),MAX(0,(MAX(0,'Scenarios_10'!D13-'Scenarios_10'!E13/'Scenarios_10'!B13))-IF(AND(A134&gt;'Scenarios_10'!B13-4,A134&lt;='Scenarios_10'!B13),'Scenarios_10'!F13,0)),0)</f>
        <v>2279800.0</v>
      </c>
      <c r="I134" s="5">
        <f>IF(A134=0,'Scenarios_10'!E13,0)</f>
        <v>0.0</v>
      </c>
      <c r="J134" s="5">
        <f>IF(A134=0,0,IF('Scenarios_10'!C13="uniform_pct",INDEX('Inputs_Data_Raw'!E:E,5+A134)*(1-MIN('Scenarios_10'!G13,'Assumptions'!B9)),IF('Scenarios_10'!C13="electricity_only_pct",INDEX('Inputs_Data_Raw'!C:C,5+A134)*(1-MIN('Scenarios_10'!G13,'Assumptions'!B9))+INDEX('Inputs_Data_Raw'!D:D,5+A134),INDEX('Inputs_Data_Raw'!D:D,5+A134)*(1-AVERAGE('Assumptions'!B5,'Assumptions'!B6,'Assumptions'!B7,'Assumptions'!B8)))))</f>
        <v>1146600.0</v>
      </c>
      <c r="K134" s="5">
        <f>G134+H134+I134-J134</f>
        <v>1133200.0</v>
      </c>
      <c r="L134" s="5">
        <f>L133+K134</f>
        <v>6026200.0</v>
      </c>
    </row>
    <row r="135" spans="1:12">
      <c r="A135" s="8">
        <v>9</v>
      </c>
      <c r="B135" s="5">
        <f>IF(A135=0,-'Inputs_Data_Raw'!H5,0)</f>
        <v>0.0</v>
      </c>
      <c r="C135" s="5">
        <f>IF(A135=0,0,INDEX('Inputs_Data_Raw'!B:B, 5+A135))</f>
        <v>2342300.0</v>
      </c>
      <c r="D135" s="5">
        <f>IF(A135=0,0,INDEX('Inputs_Data_Raw'!E:E, 5+A135))</f>
        <v>1638000.0</v>
      </c>
      <c r="E135" s="5">
        <f>B135+C135-D135</f>
        <v>704300.0</v>
      </c>
      <c r="F135" s="5">
        <f>F134+E135</f>
        <v>2799300.0</v>
      </c>
      <c r="G135" s="5">
        <f>IF(A135=0,-'Inputs_Data_Raw'!H5,0)</f>
        <v>0.0</v>
      </c>
      <c r="H135" s="5">
        <f>IF(AND(A135&gt;=1,A135&lt;='Scenarios_10'!B13),MAX(0,(MAX(0,'Scenarios_10'!D13-'Scenarios_10'!E13/'Scenarios_10'!B13))-IF(AND(A135&gt;'Scenarios_10'!B13-4,A135&lt;='Scenarios_10'!B13),'Scenarios_10'!F13,0)),0)</f>
        <v>0.0</v>
      </c>
      <c r="I135" s="5">
        <f>IF(A135=0,'Scenarios_10'!E13,0)</f>
        <v>0.0</v>
      </c>
      <c r="J135" s="5">
        <f>IF(A135=0,0,IF('Scenarios_10'!C13="uniform_pct",INDEX('Inputs_Data_Raw'!E:E,5+A135)*(1-MIN('Scenarios_10'!G13,'Assumptions'!B9)),IF('Scenarios_10'!C13="electricity_only_pct",INDEX('Inputs_Data_Raw'!C:C,5+A135)*(1-MIN('Scenarios_10'!G13,'Assumptions'!B9))+INDEX('Inputs_Data_Raw'!D:D,5+A135),INDEX('Inputs_Data_Raw'!D:D,5+A135)*(1-AVERAGE('Assumptions'!B5,'Assumptions'!B6,'Assumptions'!B7,'Assumptions'!B8)))))</f>
        <v>1146600.0</v>
      </c>
      <c r="K135" s="5">
        <f>G135+H135+I135-J135</f>
        <v>-1146600.0</v>
      </c>
      <c r="L135" s="5">
        <f>L134+K135</f>
        <v>4879600.0</v>
      </c>
    </row>
    <row r="136" spans="1:12">
      <c r="A136" s="8">
        <v>10</v>
      </c>
      <c r="B136" s="5">
        <f>IF(A136=0,-'Inputs_Data_Raw'!H5,0)</f>
        <v>0.0</v>
      </c>
      <c r="C136" s="5">
        <f>IF(A136=0,0,INDEX('Inputs_Data_Raw'!B:B, 5+A136))</f>
        <v>2342300.0</v>
      </c>
      <c r="D136" s="5">
        <f>IF(A136=0,0,INDEX('Inputs_Data_Raw'!E:E, 5+A136))</f>
        <v>1638000.0</v>
      </c>
      <c r="E136" s="5">
        <f>B136+C136-D136</f>
        <v>704300.0</v>
      </c>
      <c r="F136" s="5">
        <f>F135+E136</f>
        <v>3503600.0</v>
      </c>
      <c r="G136" s="5">
        <f>IF(A136=0,-'Inputs_Data_Raw'!H5,0)</f>
        <v>0.0</v>
      </c>
      <c r="H136" s="5">
        <f>IF(AND(A136&gt;=1,A136&lt;='Scenarios_10'!B13),MAX(0,(MAX(0,'Scenarios_10'!D13-'Scenarios_10'!E13/'Scenarios_10'!B13))-IF(AND(A136&gt;'Scenarios_10'!B13-4,A136&lt;='Scenarios_10'!B13),'Scenarios_10'!F13,0)),0)</f>
        <v>0.0</v>
      </c>
      <c r="I136" s="5">
        <f>IF(A136=0,'Scenarios_10'!E13,0)</f>
        <v>0.0</v>
      </c>
      <c r="J136" s="5">
        <f>IF(A136=0,0,IF('Scenarios_10'!C13="uniform_pct",INDEX('Inputs_Data_Raw'!E:E,5+A136)*(1-MIN('Scenarios_10'!G13,'Assumptions'!B9)),IF('Scenarios_10'!C13="electricity_only_pct",INDEX('Inputs_Data_Raw'!C:C,5+A136)*(1-MIN('Scenarios_10'!G13,'Assumptions'!B9))+INDEX('Inputs_Data_Raw'!D:D,5+A136),INDEX('Inputs_Data_Raw'!D:D,5+A136)*(1-AVERAGE('Assumptions'!B5,'Assumptions'!B6,'Assumptions'!B7,'Assumptions'!B8)))))</f>
        <v>1146600.0</v>
      </c>
      <c r="K136" s="5">
        <f>G136+H136+I136-J136</f>
        <v>-1146600.0</v>
      </c>
      <c r="L136" s="5">
        <f>L135+K136</f>
        <v>3733000.0</v>
      </c>
    </row>
    <row r="139" spans="1:12">
      <c r="A139" s="3" t="s">
        <v>110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>
      <c r="A140" s="6" t="s">
        <v>90</v>
      </c>
      <c r="B140" s="6" t="s">
        <v>91</v>
      </c>
      <c r="C140" s="6" t="s">
        <v>92</v>
      </c>
      <c r="D140" s="6" t="s">
        <v>93</v>
      </c>
      <c r="E140" s="6" t="s">
        <v>94</v>
      </c>
      <c r="F140" s="6" t="s">
        <v>95</v>
      </c>
      <c r="G140" s="6" t="s">
        <v>96</v>
      </c>
      <c r="H140" s="6" t="s">
        <v>97</v>
      </c>
      <c r="I140" s="6" t="s">
        <v>98</v>
      </c>
      <c r="J140" s="6" t="s">
        <v>99</v>
      </c>
      <c r="K140" s="6" t="s">
        <v>100</v>
      </c>
      <c r="L140" s="6" t="s">
        <v>101</v>
      </c>
    </row>
    <row r="141" spans="1:12">
      <c r="A141" s="8">
        <v>0</v>
      </c>
      <c r="B141" s="5">
        <f>IF(A141=0,-'Inputs_Data_Raw'!H5,0)</f>
        <v>-3539400.0</v>
      </c>
      <c r="C141" s="5">
        <f>IF(A141=0,0,INDEX('Inputs_Data_Raw'!B:B, 5+A141))</f>
        <v>0.0</v>
      </c>
      <c r="D141" s="5">
        <f>IF(A141=0,0,INDEX('Inputs_Data_Raw'!E:E, 5+A141))</f>
        <v>0.0</v>
      </c>
      <c r="E141" s="5">
        <f>B141+C141-D141</f>
        <v>-3539400.0</v>
      </c>
      <c r="F141" s="5">
        <f>E141</f>
        <v>-3539400.0</v>
      </c>
      <c r="G141" s="5">
        <f>IF(A141=0,-'Inputs_Data_Raw'!H5,0)</f>
        <v>-3539400.0</v>
      </c>
      <c r="H141" s="5">
        <f>IF(AND(A141&gt;=1,A141&lt;='Scenarios_10'!B14),MAX(0,(MAX(0,'Scenarios_10'!D14-'Scenarios_10'!E14/'Scenarios_10'!B14))-IF(AND(A141&gt;'Scenarios_10'!B14-4,A141&lt;='Scenarios_10'!B14),'Scenarios_10'!F14,0)),0)</f>
        <v>0.0</v>
      </c>
      <c r="I141" s="5">
        <f>IF(A141=0,'Scenarios_10'!E14,0)</f>
        <v>0.0</v>
      </c>
      <c r="J141" s="5">
        <f>IF(A141=0,0,IF('Scenarios_10'!C14="uniform_pct",INDEX('Inputs_Data_Raw'!E:E,5+A141)*(1-MIN('Scenarios_10'!G14,'Assumptions'!B9)),IF('Scenarios_10'!C14="electricity_only_pct",INDEX('Inputs_Data_Raw'!C:C,5+A141)*(1-MIN('Scenarios_10'!G14,'Assumptions'!B9))+INDEX('Inputs_Data_Raw'!D:D,5+A141),INDEX('Inputs_Data_Raw'!D:D,5+A141)*(1-AVERAGE('Assumptions'!B5,'Assumptions'!B6,'Assumptions'!B7,'Assumptions'!B8)))))</f>
        <v>0.0</v>
      </c>
      <c r="K141" s="5">
        <f>G141+H141+I141-J141</f>
        <v>-3539400.0</v>
      </c>
      <c r="L141" s="5">
        <f>K141</f>
        <v>-3539400.0</v>
      </c>
    </row>
    <row r="142" spans="1:12">
      <c r="A142" s="8">
        <v>1</v>
      </c>
      <c r="B142" s="5">
        <f>IF(A142=0,-'Inputs_Data_Raw'!H5,0)</f>
        <v>0.0</v>
      </c>
      <c r="C142" s="5">
        <f>IF(A142=0,0,INDEX('Inputs_Data_Raw'!B:B, 5+A142))</f>
        <v>2342300.0</v>
      </c>
      <c r="D142" s="5">
        <f>IF(A142=0,0,INDEX('Inputs_Data_Raw'!E:E, 5+A142))</f>
        <v>1638000.0</v>
      </c>
      <c r="E142" s="5">
        <f>B142+C142-D142</f>
        <v>704300.0</v>
      </c>
      <c r="F142" s="5">
        <f>F141+E142</f>
        <v>-2835100.0</v>
      </c>
      <c r="G142" s="5">
        <f>IF(A142=0,-'Inputs_Data_Raw'!H5,0)</f>
        <v>0.0</v>
      </c>
      <c r="H142" s="5">
        <f>IF(AND(A142&gt;=1,A142&lt;='Scenarios_10'!B14),MAX(0,(MAX(0,'Scenarios_10'!D14-'Scenarios_10'!E14/'Scenarios_10'!B14))-IF(AND(A142&gt;'Scenarios_10'!B14-4,A142&lt;='Scenarios_10'!B14),'Scenarios_10'!F14,0)),0)</f>
        <v>2154916.0</v>
      </c>
      <c r="I142" s="5">
        <f>IF(A142=0,'Scenarios_10'!E14,0)</f>
        <v>0.0</v>
      </c>
      <c r="J142" s="5">
        <f>IF(A142=0,0,IF('Scenarios_10'!C14="uniform_pct",INDEX('Inputs_Data_Raw'!E:E,5+A142)*(1-MIN('Scenarios_10'!G14,'Assumptions'!B9)),IF('Scenarios_10'!C14="electricity_only_pct",INDEX('Inputs_Data_Raw'!C:C,5+A142)*(1-MIN('Scenarios_10'!G14,'Assumptions'!B9))+INDEX('Inputs_Data_Raw'!D:D,5+A142),INDEX('Inputs_Data_Raw'!D:D,5+A142)*(1-AVERAGE('Assumptions'!B5,'Assumptions'!B6,'Assumptions'!B7,'Assumptions'!B8)))))</f>
        <v>1474200.0</v>
      </c>
      <c r="K142" s="5">
        <f>G142+H142+I142-J142</f>
        <v>680716.0</v>
      </c>
      <c r="L142" s="5">
        <f>L141+K142</f>
        <v>-2858684.0</v>
      </c>
    </row>
    <row r="143" spans="1:12">
      <c r="A143" s="8">
        <v>2</v>
      </c>
      <c r="B143" s="5">
        <f>IF(A143=0,-'Inputs_Data_Raw'!H5,0)</f>
        <v>0.0</v>
      </c>
      <c r="C143" s="5">
        <f>IF(A143=0,0,INDEX('Inputs_Data_Raw'!B:B, 5+A143))</f>
        <v>2342300.0</v>
      </c>
      <c r="D143" s="5">
        <f>IF(A143=0,0,INDEX('Inputs_Data_Raw'!E:E, 5+A143))</f>
        <v>1638000.0</v>
      </c>
      <c r="E143" s="5">
        <f>B143+C143-D143</f>
        <v>704300.0</v>
      </c>
      <c r="F143" s="5">
        <f>F142+E143</f>
        <v>-2130800.0</v>
      </c>
      <c r="G143" s="5">
        <f>IF(A143=0,-'Inputs_Data_Raw'!H5,0)</f>
        <v>0.0</v>
      </c>
      <c r="H143" s="5">
        <f>IF(AND(A143&gt;=1,A143&lt;='Scenarios_10'!B14),MAX(0,(MAX(0,'Scenarios_10'!D14-'Scenarios_10'!E14/'Scenarios_10'!B14))-IF(AND(A143&gt;'Scenarios_10'!B14-4,A143&lt;='Scenarios_10'!B14),'Scenarios_10'!F14,0)),0)</f>
        <v>2154916.0</v>
      </c>
      <c r="I143" s="5">
        <f>IF(A143=0,'Scenarios_10'!E14,0)</f>
        <v>0.0</v>
      </c>
      <c r="J143" s="5">
        <f>IF(A143=0,0,IF('Scenarios_10'!C14="uniform_pct",INDEX('Inputs_Data_Raw'!E:E,5+A143)*(1-MIN('Scenarios_10'!G14,'Assumptions'!B9)),IF('Scenarios_10'!C14="electricity_only_pct",INDEX('Inputs_Data_Raw'!C:C,5+A143)*(1-MIN('Scenarios_10'!G14,'Assumptions'!B9))+INDEX('Inputs_Data_Raw'!D:D,5+A143),INDEX('Inputs_Data_Raw'!D:D,5+A143)*(1-AVERAGE('Assumptions'!B5,'Assumptions'!B6,'Assumptions'!B7,'Assumptions'!B8)))))</f>
        <v>1474200.0</v>
      </c>
      <c r="K143" s="5">
        <f>G143+H143+I143-J143</f>
        <v>680716.0</v>
      </c>
      <c r="L143" s="5">
        <f>L142+K143</f>
        <v>-2177968.0</v>
      </c>
    </row>
    <row r="144" spans="1:12">
      <c r="A144" s="8">
        <v>3</v>
      </c>
      <c r="B144" s="5">
        <f>IF(A144=0,-'Inputs_Data_Raw'!H5,0)</f>
        <v>0.0</v>
      </c>
      <c r="C144" s="5">
        <f>IF(A144=0,0,INDEX('Inputs_Data_Raw'!B:B, 5+A144))</f>
        <v>2342300.0</v>
      </c>
      <c r="D144" s="5">
        <f>IF(A144=0,0,INDEX('Inputs_Data_Raw'!E:E, 5+A144))</f>
        <v>1638000.0</v>
      </c>
      <c r="E144" s="5">
        <f>B144+C144-D144</f>
        <v>704300.0</v>
      </c>
      <c r="F144" s="5">
        <f>F143+E144</f>
        <v>-1426500.0</v>
      </c>
      <c r="G144" s="5">
        <f>IF(A144=0,-'Inputs_Data_Raw'!H5,0)</f>
        <v>0.0</v>
      </c>
      <c r="H144" s="5">
        <f>IF(AND(A144&gt;=1,A144&lt;='Scenarios_10'!B14),MAX(0,(MAX(0,'Scenarios_10'!D14-'Scenarios_10'!E14/'Scenarios_10'!B14))-IF(AND(A144&gt;'Scenarios_10'!B14-4,A144&lt;='Scenarios_10'!B14),'Scenarios_10'!F14,0)),0)</f>
        <v>2154916.0</v>
      </c>
      <c r="I144" s="5">
        <f>IF(A144=0,'Scenarios_10'!E14,0)</f>
        <v>0.0</v>
      </c>
      <c r="J144" s="5">
        <f>IF(A144=0,0,IF('Scenarios_10'!C14="uniform_pct",INDEX('Inputs_Data_Raw'!E:E,5+A144)*(1-MIN('Scenarios_10'!G14,'Assumptions'!B9)),IF('Scenarios_10'!C14="electricity_only_pct",INDEX('Inputs_Data_Raw'!C:C,5+A144)*(1-MIN('Scenarios_10'!G14,'Assumptions'!B9))+INDEX('Inputs_Data_Raw'!D:D,5+A144),INDEX('Inputs_Data_Raw'!D:D,5+A144)*(1-AVERAGE('Assumptions'!B5,'Assumptions'!B6,'Assumptions'!B7,'Assumptions'!B8)))))</f>
        <v>1474200.0</v>
      </c>
      <c r="K144" s="5">
        <f>G144+H144+I144-J144</f>
        <v>680716.0</v>
      </c>
      <c r="L144" s="5">
        <f>L143+K144</f>
        <v>-1497252.0</v>
      </c>
    </row>
    <row r="145" spans="1:12">
      <c r="A145" s="8">
        <v>4</v>
      </c>
      <c r="B145" s="5">
        <f>IF(A145=0,-'Inputs_Data_Raw'!H5,0)</f>
        <v>0.0</v>
      </c>
      <c r="C145" s="5">
        <f>IF(A145=0,0,INDEX('Inputs_Data_Raw'!B:B, 5+A145))</f>
        <v>2342300.0</v>
      </c>
      <c r="D145" s="5">
        <f>IF(A145=0,0,INDEX('Inputs_Data_Raw'!E:E, 5+A145))</f>
        <v>1638000.0</v>
      </c>
      <c r="E145" s="5">
        <f>B145+C145-D145</f>
        <v>704300.0</v>
      </c>
      <c r="F145" s="5">
        <f>F144+E145</f>
        <v>-722200.0</v>
      </c>
      <c r="G145" s="5">
        <f>IF(A145=0,-'Inputs_Data_Raw'!H5,0)</f>
        <v>0.0</v>
      </c>
      <c r="H145" s="5">
        <f>IF(AND(A145&gt;=1,A145&lt;='Scenarios_10'!B14),MAX(0,(MAX(0,'Scenarios_10'!D14-'Scenarios_10'!E14/'Scenarios_10'!B14))-IF(AND(A145&gt;'Scenarios_10'!B14-4,A145&lt;='Scenarios_10'!B14),'Scenarios_10'!F14,0)),0)</f>
        <v>2154916.0</v>
      </c>
      <c r="I145" s="5">
        <f>IF(A145=0,'Scenarios_10'!E14,0)</f>
        <v>0.0</v>
      </c>
      <c r="J145" s="5">
        <f>IF(A145=0,0,IF('Scenarios_10'!C14="uniform_pct",INDEX('Inputs_Data_Raw'!E:E,5+A145)*(1-MIN('Scenarios_10'!G14,'Assumptions'!B9)),IF('Scenarios_10'!C14="electricity_only_pct",INDEX('Inputs_Data_Raw'!C:C,5+A145)*(1-MIN('Scenarios_10'!G14,'Assumptions'!B9))+INDEX('Inputs_Data_Raw'!D:D,5+A145),INDEX('Inputs_Data_Raw'!D:D,5+A145)*(1-AVERAGE('Assumptions'!B5,'Assumptions'!B6,'Assumptions'!B7,'Assumptions'!B8)))))</f>
        <v>1474200.0</v>
      </c>
      <c r="K145" s="5">
        <f>G145+H145+I145-J145</f>
        <v>680716.0</v>
      </c>
      <c r="L145" s="5">
        <f>L144+K145</f>
        <v>-816536.0</v>
      </c>
    </row>
    <row r="146" spans="1:12">
      <c r="A146" s="8">
        <v>5</v>
      </c>
      <c r="B146" s="5">
        <f>IF(A146=0,-'Inputs_Data_Raw'!H5,0)</f>
        <v>0.0</v>
      </c>
      <c r="C146" s="5">
        <f>IF(A146=0,0,INDEX('Inputs_Data_Raw'!B:B, 5+A146))</f>
        <v>2342300.0</v>
      </c>
      <c r="D146" s="5">
        <f>IF(A146=0,0,INDEX('Inputs_Data_Raw'!E:E, 5+A146))</f>
        <v>1638000.0</v>
      </c>
      <c r="E146" s="5">
        <f>B146+C146-D146</f>
        <v>704300.0</v>
      </c>
      <c r="F146" s="5">
        <f>F145+E146</f>
        <v>-17900.0</v>
      </c>
      <c r="G146" s="5">
        <f>IF(A146=0,-'Inputs_Data_Raw'!H5,0)</f>
        <v>0.0</v>
      </c>
      <c r="H146" s="5">
        <f>IF(AND(A146&gt;=1,A146&lt;='Scenarios_10'!B14),MAX(0,(MAX(0,'Scenarios_10'!D14-'Scenarios_10'!E14/'Scenarios_10'!B14))-IF(AND(A146&gt;'Scenarios_10'!B14-4,A146&lt;='Scenarios_10'!B14),'Scenarios_10'!F14,0)),0)</f>
        <v>2154916.0</v>
      </c>
      <c r="I146" s="5">
        <f>IF(A146=0,'Scenarios_10'!E14,0)</f>
        <v>0.0</v>
      </c>
      <c r="J146" s="5">
        <f>IF(A146=0,0,IF('Scenarios_10'!C14="uniform_pct",INDEX('Inputs_Data_Raw'!E:E,5+A146)*(1-MIN('Scenarios_10'!G14,'Assumptions'!B9)),IF('Scenarios_10'!C14="electricity_only_pct",INDEX('Inputs_Data_Raw'!C:C,5+A146)*(1-MIN('Scenarios_10'!G14,'Assumptions'!B9))+INDEX('Inputs_Data_Raw'!D:D,5+A146),INDEX('Inputs_Data_Raw'!D:D,5+A146)*(1-AVERAGE('Assumptions'!B5,'Assumptions'!B6,'Assumptions'!B7,'Assumptions'!B8)))))</f>
        <v>1474200.0</v>
      </c>
      <c r="K146" s="5">
        <f>G146+H146+I146-J146</f>
        <v>680716.0</v>
      </c>
      <c r="L146" s="5">
        <f>L145+K146</f>
        <v>-135820.0</v>
      </c>
    </row>
    <row r="147" spans="1:12">
      <c r="A147" s="8">
        <v>6</v>
      </c>
      <c r="B147" s="5">
        <f>IF(A147=0,-'Inputs_Data_Raw'!H5,0)</f>
        <v>0.0</v>
      </c>
      <c r="C147" s="5">
        <f>IF(A147=0,0,INDEX('Inputs_Data_Raw'!B:B, 5+A147))</f>
        <v>2342300.0</v>
      </c>
      <c r="D147" s="5">
        <f>IF(A147=0,0,INDEX('Inputs_Data_Raw'!E:E, 5+A147))</f>
        <v>1638000.0</v>
      </c>
      <c r="E147" s="5">
        <f>B147+C147-D147</f>
        <v>704300.0</v>
      </c>
      <c r="F147" s="5">
        <f>F146+E147</f>
        <v>686400.0</v>
      </c>
      <c r="G147" s="5">
        <f>IF(A147=0,-'Inputs_Data_Raw'!H5,0)</f>
        <v>0.0</v>
      </c>
      <c r="H147" s="5">
        <f>IF(AND(A147&gt;=1,A147&lt;='Scenarios_10'!B14),MAX(0,(MAX(0,'Scenarios_10'!D14-'Scenarios_10'!E14/'Scenarios_10'!B14))-IF(AND(A147&gt;'Scenarios_10'!B14-4,A147&lt;='Scenarios_10'!B14),'Scenarios_10'!F14,0)),0)</f>
        <v>2154916.0</v>
      </c>
      <c r="I147" s="5">
        <f>IF(A147=0,'Scenarios_10'!E14,0)</f>
        <v>0.0</v>
      </c>
      <c r="J147" s="5">
        <f>IF(A147=0,0,IF('Scenarios_10'!C14="uniform_pct",INDEX('Inputs_Data_Raw'!E:E,5+A147)*(1-MIN('Scenarios_10'!G14,'Assumptions'!B9)),IF('Scenarios_10'!C14="electricity_only_pct",INDEX('Inputs_Data_Raw'!C:C,5+A147)*(1-MIN('Scenarios_10'!G14,'Assumptions'!B9))+INDEX('Inputs_Data_Raw'!D:D,5+A147),INDEX('Inputs_Data_Raw'!D:D,5+A147)*(1-AVERAGE('Assumptions'!B5,'Assumptions'!B6,'Assumptions'!B7,'Assumptions'!B8)))))</f>
        <v>1474200.0</v>
      </c>
      <c r="K147" s="5">
        <f>G147+H147+I147-J147</f>
        <v>680716.0</v>
      </c>
      <c r="L147" s="5">
        <f>L146+K147</f>
        <v>544896.0</v>
      </c>
    </row>
    <row r="148" spans="1:12">
      <c r="A148" s="8">
        <v>7</v>
      </c>
      <c r="B148" s="5">
        <f>IF(A148=0,-'Inputs_Data_Raw'!H5,0)</f>
        <v>0.0</v>
      </c>
      <c r="C148" s="5">
        <f>IF(A148=0,0,INDEX('Inputs_Data_Raw'!B:B, 5+A148))</f>
        <v>2342300.0</v>
      </c>
      <c r="D148" s="5">
        <f>IF(A148=0,0,INDEX('Inputs_Data_Raw'!E:E, 5+A148))</f>
        <v>1638000.0</v>
      </c>
      <c r="E148" s="5">
        <f>B148+C148-D148</f>
        <v>704300.0</v>
      </c>
      <c r="F148" s="5">
        <f>F147+E148</f>
        <v>1390700.0</v>
      </c>
      <c r="G148" s="5">
        <f>IF(A148=0,-'Inputs_Data_Raw'!H5,0)</f>
        <v>0.0</v>
      </c>
      <c r="H148" s="5">
        <f>IF(AND(A148&gt;=1,A148&lt;='Scenarios_10'!B14),MAX(0,(MAX(0,'Scenarios_10'!D14-'Scenarios_10'!E14/'Scenarios_10'!B14))-IF(AND(A148&gt;'Scenarios_10'!B14-4,A148&lt;='Scenarios_10'!B14),'Scenarios_10'!F14,0)),0)</f>
        <v>2154916.0</v>
      </c>
      <c r="I148" s="5">
        <f>IF(A148=0,'Scenarios_10'!E14,0)</f>
        <v>0.0</v>
      </c>
      <c r="J148" s="5">
        <f>IF(A148=0,0,IF('Scenarios_10'!C14="uniform_pct",INDEX('Inputs_Data_Raw'!E:E,5+A148)*(1-MIN('Scenarios_10'!G14,'Assumptions'!B9)),IF('Scenarios_10'!C14="electricity_only_pct",INDEX('Inputs_Data_Raw'!C:C,5+A148)*(1-MIN('Scenarios_10'!G14,'Assumptions'!B9))+INDEX('Inputs_Data_Raw'!D:D,5+A148),INDEX('Inputs_Data_Raw'!D:D,5+A148)*(1-AVERAGE('Assumptions'!B5,'Assumptions'!B6,'Assumptions'!B7,'Assumptions'!B8)))))</f>
        <v>1474200.0</v>
      </c>
      <c r="K148" s="5">
        <f>G148+H148+I148-J148</f>
        <v>680716.0</v>
      </c>
      <c r="L148" s="5">
        <f>L147+K148</f>
        <v>1225612.0</v>
      </c>
    </row>
    <row r="149" spans="1:12">
      <c r="A149" s="8">
        <v>8</v>
      </c>
      <c r="B149" s="5">
        <f>IF(A149=0,-'Inputs_Data_Raw'!H5,0)</f>
        <v>0.0</v>
      </c>
      <c r="C149" s="5">
        <f>IF(A149=0,0,INDEX('Inputs_Data_Raw'!B:B, 5+A149))</f>
        <v>2342300.0</v>
      </c>
      <c r="D149" s="5">
        <f>IF(A149=0,0,INDEX('Inputs_Data_Raw'!E:E, 5+A149))</f>
        <v>1638000.0</v>
      </c>
      <c r="E149" s="5">
        <f>B149+C149-D149</f>
        <v>704300.0</v>
      </c>
      <c r="F149" s="5">
        <f>F148+E149</f>
        <v>2095000.0</v>
      </c>
      <c r="G149" s="5">
        <f>IF(A149=0,-'Inputs_Data_Raw'!H5,0)</f>
        <v>0.0</v>
      </c>
      <c r="H149" s="5">
        <f>IF(AND(A149&gt;=1,A149&lt;='Scenarios_10'!B14),MAX(0,(MAX(0,'Scenarios_10'!D14-'Scenarios_10'!E14/'Scenarios_10'!B14))-IF(AND(A149&gt;'Scenarios_10'!B14-4,A149&lt;='Scenarios_10'!B14),'Scenarios_10'!F14,0)),0)</f>
        <v>2154916.0</v>
      </c>
      <c r="I149" s="5">
        <f>IF(A149=0,'Scenarios_10'!E14,0)</f>
        <v>0.0</v>
      </c>
      <c r="J149" s="5">
        <f>IF(A149=0,0,IF('Scenarios_10'!C14="uniform_pct",INDEX('Inputs_Data_Raw'!E:E,5+A149)*(1-MIN('Scenarios_10'!G14,'Assumptions'!B9)),IF('Scenarios_10'!C14="electricity_only_pct",INDEX('Inputs_Data_Raw'!C:C,5+A149)*(1-MIN('Scenarios_10'!G14,'Assumptions'!B9))+INDEX('Inputs_Data_Raw'!D:D,5+A149),INDEX('Inputs_Data_Raw'!D:D,5+A149)*(1-AVERAGE('Assumptions'!B5,'Assumptions'!B6,'Assumptions'!B7,'Assumptions'!B8)))))</f>
        <v>1474200.0</v>
      </c>
      <c r="K149" s="5">
        <f>G149+H149+I149-J149</f>
        <v>680716.0</v>
      </c>
      <c r="L149" s="5">
        <f>L148+K149</f>
        <v>1906328.0</v>
      </c>
    </row>
    <row r="150" spans="1:12">
      <c r="A150" s="8">
        <v>9</v>
      </c>
      <c r="B150" s="5">
        <f>IF(A150=0,-'Inputs_Data_Raw'!H5,0)</f>
        <v>0.0</v>
      </c>
      <c r="C150" s="5">
        <f>IF(A150=0,0,INDEX('Inputs_Data_Raw'!B:B, 5+A150))</f>
        <v>2342300.0</v>
      </c>
      <c r="D150" s="5">
        <f>IF(A150=0,0,INDEX('Inputs_Data_Raw'!E:E, 5+A150))</f>
        <v>1638000.0</v>
      </c>
      <c r="E150" s="5">
        <f>B150+C150-D150</f>
        <v>704300.0</v>
      </c>
      <c r="F150" s="5">
        <f>F149+E150</f>
        <v>2799300.0</v>
      </c>
      <c r="G150" s="5">
        <f>IF(A150=0,-'Inputs_Data_Raw'!H5,0)</f>
        <v>0.0</v>
      </c>
      <c r="H150" s="5">
        <f>IF(AND(A150&gt;=1,A150&lt;='Scenarios_10'!B14),MAX(0,(MAX(0,'Scenarios_10'!D14-'Scenarios_10'!E14/'Scenarios_10'!B14))-IF(AND(A150&gt;'Scenarios_10'!B14-4,A150&lt;='Scenarios_10'!B14),'Scenarios_10'!F14,0)),0)</f>
        <v>2154916.0</v>
      </c>
      <c r="I150" s="5">
        <f>IF(A150=0,'Scenarios_10'!E14,0)</f>
        <v>0.0</v>
      </c>
      <c r="J150" s="5">
        <f>IF(A150=0,0,IF('Scenarios_10'!C14="uniform_pct",INDEX('Inputs_Data_Raw'!E:E,5+A150)*(1-MIN('Scenarios_10'!G14,'Assumptions'!B9)),IF('Scenarios_10'!C14="electricity_only_pct",INDEX('Inputs_Data_Raw'!C:C,5+A150)*(1-MIN('Scenarios_10'!G14,'Assumptions'!B9))+INDEX('Inputs_Data_Raw'!D:D,5+A150),INDEX('Inputs_Data_Raw'!D:D,5+A150)*(1-AVERAGE('Assumptions'!B5,'Assumptions'!B6,'Assumptions'!B7,'Assumptions'!B8)))))</f>
        <v>1474200.0</v>
      </c>
      <c r="K150" s="5">
        <f>G150+H150+I150-J150</f>
        <v>680716.0</v>
      </c>
      <c r="L150" s="5">
        <f>L149+K150</f>
        <v>2587044.0</v>
      </c>
    </row>
    <row r="151" spans="1:12">
      <c r="A151" s="8">
        <v>10</v>
      </c>
      <c r="B151" s="5">
        <f>IF(A151=0,-'Inputs_Data_Raw'!H5,0)</f>
        <v>0.0</v>
      </c>
      <c r="C151" s="5">
        <f>IF(A151=0,0,INDEX('Inputs_Data_Raw'!B:B, 5+A151))</f>
        <v>2342300.0</v>
      </c>
      <c r="D151" s="5">
        <f>IF(A151=0,0,INDEX('Inputs_Data_Raw'!E:E, 5+A151))</f>
        <v>1638000.0</v>
      </c>
      <c r="E151" s="5">
        <f>B151+C151-D151</f>
        <v>704300.0</v>
      </c>
      <c r="F151" s="5">
        <f>F150+E151</f>
        <v>3503600.0</v>
      </c>
      <c r="G151" s="5">
        <f>IF(A151=0,-'Inputs_Data_Raw'!H5,0)</f>
        <v>0.0</v>
      </c>
      <c r="H151" s="5">
        <f>IF(AND(A151&gt;=1,A151&lt;='Scenarios_10'!B14),MAX(0,(MAX(0,'Scenarios_10'!D14-'Scenarios_10'!E14/'Scenarios_10'!B14))-IF(AND(A151&gt;'Scenarios_10'!B14-4,A151&lt;='Scenarios_10'!B14),'Scenarios_10'!F14,0)),0)</f>
        <v>2154916.0</v>
      </c>
      <c r="I151" s="5">
        <f>IF(A151=0,'Scenarios_10'!E14,0)</f>
        <v>0.0</v>
      </c>
      <c r="J151" s="5">
        <f>IF(A151=0,0,IF('Scenarios_10'!C14="uniform_pct",INDEX('Inputs_Data_Raw'!E:E,5+A151)*(1-MIN('Scenarios_10'!G14,'Assumptions'!B9)),IF('Scenarios_10'!C14="electricity_only_pct",INDEX('Inputs_Data_Raw'!C:C,5+A151)*(1-MIN('Scenarios_10'!G14,'Assumptions'!B9))+INDEX('Inputs_Data_Raw'!D:D,5+A151),INDEX('Inputs_Data_Raw'!D:D,5+A151)*(1-AVERAGE('Assumptions'!B5,'Assumptions'!B6,'Assumptions'!B7,'Assumptions'!B8)))))</f>
        <v>1474200.0</v>
      </c>
      <c r="K151" s="5">
        <f>G151+H151+I151-J151</f>
        <v>680716.0</v>
      </c>
      <c r="L151" s="5">
        <f>L150+K151</f>
        <v>3267760.0</v>
      </c>
    </row>
  </sheetData>
  <mergeCells count="12">
    <mergeCell ref="A1:L1"/>
    <mergeCell ref="A2:L2"/>
    <mergeCell ref="A4:L4"/>
    <mergeCell ref="A19:L19"/>
    <mergeCell ref="A34:L34"/>
    <mergeCell ref="A49:L49"/>
    <mergeCell ref="A64:L64"/>
    <mergeCell ref="A79:L79"/>
    <mergeCell ref="A94:L94"/>
    <mergeCell ref="A109:L109"/>
    <mergeCell ref="A124:L124"/>
    <mergeCell ref="A139:L1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00_Value_Drivers</vt:lpstr>
      <vt:lpstr>01_Dashboard</vt:lpstr>
      <vt:lpstr>02_Inputs</vt:lpstr>
      <vt:lpstr>03_Baseline</vt:lpstr>
      <vt:lpstr>04_Mode_Params</vt:lpstr>
      <vt:lpstr>05_Annual_Model</vt:lpstr>
      <vt:lpstr>06_Sensitivity</vt:lpstr>
      <vt:lpstr>07_Model_Checks</vt:lpstr>
      <vt:lpstr>08_Calc_Logic</vt:lpstr>
      <vt:lpstr>09_Glossary</vt:lpstr>
      <vt:lpstr>Story_and_Sources</vt:lpstr>
      <vt:lpstr>Inputs_Data_Raw</vt:lpstr>
      <vt:lpstr>Assumptions</vt:lpstr>
      <vt:lpstr>Scenarios_10</vt:lpstr>
      <vt:lpstr>Model_Calc</vt:lpstr>
      <vt:lpstr>Scenario_Tables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2026-04-25T04:48:53Z</dcterms:created>
  <dcterms:modified xsi:type="dcterms:W3CDTF">2026-04-25T04:48:53Z</dcterms:modified>
</cp:coreProperties>
</file>