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Value_Drivers" sheetId="1" state="visible" r:id="rId1"/>
    <sheet name="Inputs_Data" sheetId="2" state="visible" r:id="rId2"/>
    <sheet name="Assumptions" sheetId="3" state="visible" r:id="rId3"/>
    <sheet name="Scenarios_10" sheetId="4" state="visible" r:id="rId4"/>
    <sheet name="Model_Calc" sheetId="5" state="visible" r:id="rId5"/>
    <sheet name="Scenario_Tables" sheetId="6" state="visible" r:id="rId6"/>
    <sheet name="01_Dashboard" sheetId="7" state="visible" r:id="rId7"/>
    <sheet name="02_Inputs" sheetId="8" state="visible" r:id="rId8"/>
    <sheet name="03_Baseline" sheetId="9" state="visible" r:id="rId9"/>
    <sheet name="04_Mode_Params" sheetId="10" state="visible" r:id="rId10"/>
    <sheet name="05_Annual_Model" sheetId="11" state="visible" r:id="rId11"/>
    <sheet name="06_Sensitivity" sheetId="12" state="visible" r:id="rId12"/>
    <sheet name="07_Model_Checks" sheetId="13" state="visible" r:id="rId13"/>
    <sheet name="08_Calc_Logic" sheetId="14" state="visible" r:id="rId14"/>
    <sheet name="09_Glossary" sheetId="15" state="visible" r:id="rId15"/>
    <sheet name="Story_and_Sources" sheetId="16" state="visible" r:id="rId16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8"/>
    </font>
    <font>
      <color rgb="00374151"/>
      <sz val="11"/>
    </font>
    <font>
      <b val="1"/>
      <color rgb="00FFFFFF"/>
    </font>
    <font>
      <b val="1"/>
      <color rgb="00111827"/>
      <sz val="10"/>
    </font>
    <font>
      <color rgb="00111827"/>
      <sz val="10"/>
    </font>
    <font>
      <name val="Calibri"/>
      <family val="2"/>
      <color theme="10"/>
      <sz val="12"/>
      <scheme val="minor"/>
    </font>
    <font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/>
    </xf>
    <xf numFmtId="10" fontId="5" fillId="3" borderId="0" applyAlignment="1" pivotButton="0" quotePrefix="0" xfId="0">
      <alignment vertical="top" wrapText="1"/>
    </xf>
    <xf numFmtId="10" fontId="5" fillId="0" borderId="0" applyAlignment="1" pivotButton="0" quotePrefix="0" xfId="0">
      <alignment vertical="top" wrapText="1"/>
    </xf>
    <xf numFmtId="3" fontId="5" fillId="0" borderId="0" applyAlignment="1" pivotButton="0" quotePrefix="0" xfId="0">
      <alignment vertical="top" wrapText="1"/>
    </xf>
    <xf numFmtId="1" fontId="5" fillId="0" borderId="0" applyAlignment="1" pivotButton="0" quotePrefix="0" xfId="0">
      <alignment vertical="top" wrapText="1"/>
    </xf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Client payment vs baseline (Y1)</a:t>
            </a:r>
          </a:p>
        </rich>
      </tx>
    </title>
    <plotArea>
      <lineChart>
        <grouping val="standard"/>
        <ser>
          <idx val="0"/>
          <order val="0"/>
          <tx>
            <strRef>
              <f>'Model_Calc'!B19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'Model_Calc'!$A$20:$A$29</f>
            </numRef>
          </cat>
          <val>
            <numRef>
              <f>'Model_Calc'!$B$20:$B$29</f>
            </numRef>
          </val>
        </ser>
        <ser>
          <idx val="1"/>
          <order val="1"/>
          <tx>
            <strRef>
              <f>'Model_Calc'!C19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'Model_Calc'!$A$20:$A$29</f>
            </numRef>
          </cat>
          <val>
            <numRef>
              <f>'Model_Calc'!$C$20:$C$29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18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oxmaint.com/industries/government/street-lighting-lamp-out-ai-detection" TargetMode="External" Id="rId1" /><Relationship Type="http://schemas.openxmlformats.org/officeDocument/2006/relationships/hyperlink" Target="https://mdpi-res.com/d_attachment/smartcities/smartcities-03-00071/article_deploy/smartcities-03-00071-v2.pdf?version=1607517901" TargetMode="External" Id="rId2" /><Relationship Type="http://schemas.openxmlformats.org/officeDocument/2006/relationships/hyperlink" Target="https://insights.acuitybrands.com/casestudies/city-of-west-richland-case-study" TargetMode="External" Id="rId3" /><Relationship Type="http://schemas.openxmlformats.org/officeDocument/2006/relationships/hyperlink" Target="https://lam.itron.com/documents/d/asset-library-120736/itron-tampa-electric-case-study-1" TargetMode="External" Id="rId4" /><Relationship Type="http://schemas.openxmlformats.org/officeDocument/2006/relationships/hyperlink" Target="https://www.saarcenergy.org/wp-content/uploads/2022/08/Draft-report-of-EE-Solarisation-of-Street-Lighting_Rev4_04.07.2022_No-Markup.pdf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50" customWidth="1" min="4" max="4"/>
  </cols>
  <sheetData>
    <row r="1">
      <c r="A1" s="1" t="inlineStr">
        <is>
          <t>Under equal conditions: where does LaaS value come from?</t>
        </is>
      </c>
    </row>
    <row r="2">
      <c r="A2" s="2" t="inlineStr">
        <is>
          <t>Decompose incremental value drivers and payback pressure.</t>
        </is>
      </c>
    </row>
    <row r="4">
      <c r="A4" s="3" t="inlineStr">
        <is>
          <t>Snapshot</t>
        </is>
      </c>
    </row>
    <row r="6">
      <c r="A6" t="inlineStr">
        <is>
          <t>Baseline electricity (Y1)</t>
        </is>
      </c>
      <c r="B6">
        <f>'Inputs_Data'!C6</f>
        <v/>
      </c>
    </row>
    <row r="7">
      <c r="A7" t="inlineStr">
        <is>
          <t>Owner annual budget</t>
        </is>
      </c>
      <c r="B7">
        <f>'Inputs_Data'!B6</f>
        <v/>
      </c>
    </row>
    <row r="8">
      <c r="A8" t="inlineStr">
        <is>
          <t>Initial CAPEX</t>
        </is>
      </c>
      <c r="B8">
        <f>'Inputs_Data'!H5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Inputs (from /data)</t>
        </is>
      </c>
    </row>
    <row r="2">
      <c r="A2" s="2" t="inlineStr">
        <is>
          <t>All values are RMB/year unless noted.</t>
        </is>
      </c>
    </row>
    <row r="4">
      <c r="A4" s="4" t="inlineStr">
        <is>
          <t>Year</t>
        </is>
      </c>
      <c r="B4" s="4" t="inlineStr">
        <is>
          <t>Trust_fee</t>
        </is>
      </c>
      <c r="C4" s="4" t="inlineStr">
        <is>
          <t>Elec_OPEX</t>
        </is>
      </c>
      <c r="D4" s="4" t="inlineStr">
        <is>
          <t>Staff+Other_OPEX</t>
        </is>
      </c>
      <c r="E4" s="4" t="inlineStr">
        <is>
          <t>Cash_OPEX</t>
        </is>
      </c>
      <c r="F4" s="4" t="inlineStr">
        <is>
          <t>Depreciation</t>
        </is>
      </c>
      <c r="G4" s="4" t="inlineStr">
        <is>
          <t>Debt_service</t>
        </is>
      </c>
      <c r="H4" s="4" t="inlineStr">
        <is>
          <t>CAPEX_y0</t>
        </is>
      </c>
    </row>
    <row r="5">
      <c r="A5" s="5" t="n">
        <v>0</v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3539400</v>
      </c>
    </row>
    <row r="6">
      <c r="A6" s="5" t="n">
        <v>1</v>
      </c>
      <c r="B6" s="5" t="n">
        <v>2342300</v>
      </c>
      <c r="C6" s="5" t="n">
        <v>1028000</v>
      </c>
      <c r="D6" s="5" t="n">
        <v>610000</v>
      </c>
      <c r="E6" s="5" t="n">
        <v>1638000</v>
      </c>
      <c r="F6" s="5" t="n">
        <v>407780</v>
      </c>
      <c r="G6" s="5" t="n">
        <v>867700</v>
      </c>
      <c r="H6" s="5" t="n">
        <v>0</v>
      </c>
    </row>
    <row r="7">
      <c r="A7" s="5" t="n">
        <v>2</v>
      </c>
      <c r="B7" s="5" t="n">
        <v>2342300</v>
      </c>
      <c r="C7" s="5" t="n">
        <v>1028000</v>
      </c>
      <c r="D7" s="5" t="n">
        <v>610000</v>
      </c>
      <c r="E7" s="5" t="n">
        <v>1638000</v>
      </c>
      <c r="F7" s="5" t="n">
        <v>407780</v>
      </c>
      <c r="G7" s="5" t="n">
        <v>840400</v>
      </c>
      <c r="H7" s="5" t="n">
        <v>0</v>
      </c>
    </row>
    <row r="8">
      <c r="A8" s="5" t="n">
        <v>3</v>
      </c>
      <c r="B8" s="5" t="n">
        <v>2342300</v>
      </c>
      <c r="C8" s="5" t="n">
        <v>1028000</v>
      </c>
      <c r="D8" s="5" t="n">
        <v>610000</v>
      </c>
      <c r="E8" s="5" t="n">
        <v>1638000</v>
      </c>
      <c r="F8" s="5" t="n">
        <v>407780</v>
      </c>
      <c r="G8" s="5" t="n">
        <v>813100</v>
      </c>
      <c r="H8" s="5" t="n">
        <v>0</v>
      </c>
    </row>
    <row r="9">
      <c r="A9" s="5" t="n">
        <v>4</v>
      </c>
      <c r="B9" s="5" t="n">
        <v>2342300</v>
      </c>
      <c r="C9" s="5" t="n">
        <v>1028000</v>
      </c>
      <c r="D9" s="5" t="n">
        <v>610000</v>
      </c>
      <c r="E9" s="5" t="n">
        <v>1638000</v>
      </c>
      <c r="F9" s="5" t="n">
        <v>407780</v>
      </c>
      <c r="G9" s="5" t="n">
        <v>785800</v>
      </c>
      <c r="H9" s="5" t="n">
        <v>0</v>
      </c>
    </row>
    <row r="10">
      <c r="A10" s="5" t="n">
        <v>5</v>
      </c>
      <c r="B10" s="5" t="n">
        <v>2342300</v>
      </c>
      <c r="C10" s="5" t="n">
        <v>1028000</v>
      </c>
      <c r="D10" s="5" t="n">
        <v>610000</v>
      </c>
      <c r="E10" s="5" t="n">
        <v>1638000</v>
      </c>
      <c r="F10" s="5" t="n">
        <v>407780</v>
      </c>
      <c r="G10" s="5" t="n">
        <v>758500</v>
      </c>
      <c r="H10" s="5" t="n">
        <v>0</v>
      </c>
    </row>
    <row r="11">
      <c r="A11" s="5" t="n">
        <v>6</v>
      </c>
      <c r="B11" s="5" t="n">
        <v>2342300</v>
      </c>
      <c r="C11" s="5" t="n">
        <v>1028000</v>
      </c>
      <c r="D11" s="5" t="n">
        <v>610000</v>
      </c>
      <c r="E11" s="5" t="n">
        <v>1638000</v>
      </c>
      <c r="F11" s="5" t="n">
        <v>407780</v>
      </c>
      <c r="G11" s="5" t="n">
        <v>731200</v>
      </c>
      <c r="H11" s="5" t="n">
        <v>0</v>
      </c>
    </row>
    <row r="12">
      <c r="A12" s="5" t="n">
        <v>7</v>
      </c>
      <c r="B12" s="5" t="n">
        <v>2342300</v>
      </c>
      <c r="C12" s="5" t="n">
        <v>1028000</v>
      </c>
      <c r="D12" s="5" t="n">
        <v>610000</v>
      </c>
      <c r="E12" s="5" t="n">
        <v>1638000</v>
      </c>
      <c r="F12" s="5" t="n">
        <v>407780</v>
      </c>
      <c r="G12" s="5" t="n">
        <v>103900</v>
      </c>
      <c r="H12" s="5" t="n">
        <v>0</v>
      </c>
    </row>
    <row r="13">
      <c r="A13" s="5" t="n">
        <v>8</v>
      </c>
      <c r="B13" s="5" t="n">
        <v>2342300</v>
      </c>
      <c r="C13" s="5" t="n">
        <v>1028000</v>
      </c>
      <c r="D13" s="5" t="n">
        <v>610000</v>
      </c>
      <c r="E13" s="5" t="n">
        <v>1638000</v>
      </c>
      <c r="F13" s="5" t="n">
        <v>407780</v>
      </c>
      <c r="G13" s="5" t="n">
        <v>600600</v>
      </c>
      <c r="H13" s="5" t="n">
        <v>0</v>
      </c>
    </row>
    <row r="14">
      <c r="A14" s="5" t="n">
        <v>9</v>
      </c>
      <c r="B14" s="5" t="n">
        <v>2342300</v>
      </c>
      <c r="C14" s="5" t="n">
        <v>1028000</v>
      </c>
      <c r="D14" s="5" t="n">
        <v>610000</v>
      </c>
      <c r="E14" s="5" t="n">
        <v>1638000</v>
      </c>
      <c r="F14" s="5" t="n">
        <v>407780</v>
      </c>
      <c r="G14" s="5" t="n">
        <v>0</v>
      </c>
      <c r="H14" s="5" t="n">
        <v>0</v>
      </c>
    </row>
    <row r="15">
      <c r="A15" s="5" t="n">
        <v>10</v>
      </c>
      <c r="B15" s="5" t="n">
        <v>2342300</v>
      </c>
      <c r="C15" s="5" t="n">
        <v>1028000</v>
      </c>
      <c r="D15" s="5" t="n">
        <v>610000</v>
      </c>
      <c r="E15" s="5" t="n">
        <v>1638000</v>
      </c>
      <c r="F15" s="5" t="n">
        <v>407780</v>
      </c>
      <c r="G15" s="5" t="n">
        <v>0</v>
      </c>
      <c r="H15" s="5" t="n"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60" customWidth="1" min="3" max="3"/>
    <col width="24" customWidth="1" min="4" max="4"/>
  </cols>
  <sheetData>
    <row r="1">
      <c r="A1" s="1" t="inlineStr">
        <is>
          <t>Assumptions (editable)</t>
        </is>
      </c>
    </row>
    <row r="2">
      <c r="A2" s="2" t="inlineStr">
        <is>
          <t>Highlighted cells drive all outputs via formulas.</t>
        </is>
      </c>
    </row>
    <row r="4">
      <c r="A4" s="6" t="inlineStr">
        <is>
          <t>OPEX reduction factors (by line item)</t>
        </is>
      </c>
    </row>
    <row r="5">
      <c r="A5" s="4" t="inlineStr">
        <is>
          <t>Item</t>
        </is>
      </c>
      <c r="B5" s="4" t="inlineStr">
        <is>
          <t>Value</t>
        </is>
      </c>
      <c r="C5" s="4" t="inlineStr">
        <is>
          <t>Notes</t>
        </is>
      </c>
      <c r="D5" s="4" t="inlineStr">
        <is>
          <t>Ref</t>
        </is>
      </c>
    </row>
    <row r="6">
      <c r="A6" s="5" t="inlineStr">
        <is>
          <t>Electricity OPEX reduction %</t>
        </is>
      </c>
      <c r="B6" s="7" t="n">
        <v>0.4</v>
      </c>
      <c r="C6" s="5" t="inlineStr">
        <is>
          <t>Used in electricity_only_pct tier (conservative vs case studies).</t>
        </is>
      </c>
      <c r="D6" s="5" t="inlineStr">
        <is>
          <t>Story_and_Sources</t>
        </is>
      </c>
    </row>
    <row r="7">
      <c r="A7" s="5" t="inlineStr">
        <is>
          <t>Staff OPEX reduction %</t>
        </is>
      </c>
      <c r="B7" s="7" t="n">
        <v>0.35</v>
      </c>
      <c r="C7" s="5" t="inlineStr">
        <is>
          <t>Remote monitoring + optimized dispatch; applied to non-electric OPEX.</t>
        </is>
      </c>
      <c r="D7" s="5" t="inlineStr">
        <is>
          <t>Story_and_Sources</t>
        </is>
      </c>
    </row>
    <row r="8">
      <c r="A8" s="5" t="inlineStr">
        <is>
          <t>Vehicles OPEX reduction %</t>
        </is>
      </c>
      <c r="B8" s="7" t="n">
        <v>0.3</v>
      </c>
      <c r="C8" s="5" t="inlineStr">
        <is>
          <t>Truck-roll reduction; applied to non-electric OPEX.</t>
        </is>
      </c>
      <c r="D8" s="5" t="inlineStr">
        <is>
          <t>Story_and_Sources</t>
        </is>
      </c>
    </row>
    <row r="9">
      <c r="A9" s="5" t="inlineStr">
        <is>
          <t>Materials OPEX reduction %</t>
        </is>
      </c>
      <c r="B9" s="7" t="n">
        <v>0.15</v>
      </c>
      <c r="C9" s="5" t="inlineStr">
        <is>
          <t>Predictive grouping reduces waste; applied to non-electric OPEX.</t>
        </is>
      </c>
      <c r="D9" s="5" t="inlineStr">
        <is>
          <t>Story_and_Sources</t>
        </is>
      </c>
    </row>
    <row r="10">
      <c r="A10" s="5" t="inlineStr">
        <is>
          <t>Management OPEX reduction %</t>
        </is>
      </c>
      <c r="B10" s="7" t="n">
        <v>0.1</v>
      </c>
      <c r="C10" s="5" t="inlineStr">
        <is>
          <t>Automation reduces overhead; applied to non-electric OPEX.</t>
        </is>
      </c>
      <c r="D10" s="5" t="inlineStr">
        <is>
          <t>Story_and_Sources</t>
        </is>
      </c>
    </row>
    <row r="11">
      <c r="A11" s="5" t="inlineStr">
        <is>
          <t>Max AI OPEX reduction cap %</t>
        </is>
      </c>
      <c r="B11" s="7" t="n">
        <v>0.85</v>
      </c>
      <c r="C11" s="5" t="inlineStr">
        <is>
          <t>Model guardrail: avoid unrealistic improvements; requires evidence for &gt;85%.</t>
        </is>
      </c>
      <c r="D11" s="5" t="inlineStr">
        <is>
          <t>Story_and_Sources</t>
        </is>
      </c>
    </row>
  </sheetData>
  <mergeCells count="3">
    <mergeCell ref="A2:L2"/>
    <mergeCell ref="A1:L1"/>
    <mergeCell ref="A4:L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6" customWidth="1" min="4" max="4"/>
    <col width="14" customWidth="1" min="5" max="5"/>
    <col width="14" customWidth="1" min="6" max="6"/>
    <col width="18" customWidth="1" min="7" max="7"/>
    <col width="28" customWidth="1" min="8" max="8"/>
  </cols>
  <sheetData>
    <row r="1">
      <c r="A1" s="1" t="inlineStr">
        <is>
          <t>10 win-win tiers</t>
        </is>
      </c>
    </row>
    <row r="2">
      <c r="A2" s="2" t="inlineStr">
        <is>
          <t>Each tier uses a distinct mechanism; all outputs are formula-driven.</t>
        </is>
      </c>
    </row>
    <row r="4">
      <c r="A4" s="4" t="inlineStr">
        <is>
          <t>Tier</t>
        </is>
      </c>
      <c r="B4" s="4" t="inlineStr">
        <is>
          <t>Term_y</t>
        </is>
      </c>
      <c r="C4" s="4" t="inlineStr">
        <is>
          <t>OPEX_mode</t>
        </is>
      </c>
      <c r="D4" s="4" t="inlineStr">
        <is>
          <t>Base_fee_RMB</t>
        </is>
      </c>
      <c r="E4" s="4" t="inlineStr">
        <is>
          <t>Upfront_RMB</t>
        </is>
      </c>
      <c r="F4" s="4" t="inlineStr">
        <is>
          <t>TailDisc_RMB</t>
        </is>
      </c>
      <c r="G4" s="4" t="inlineStr">
        <is>
          <t>AI_red_pct</t>
        </is>
      </c>
      <c r="H4" s="4" t="inlineStr">
        <is>
          <t>Story</t>
        </is>
      </c>
    </row>
    <row r="5">
      <c r="A5" s="5" t="inlineStr">
        <is>
          <t>Tier1_UniformAI_20</t>
        </is>
      </c>
      <c r="B5" s="5" t="n">
        <v>10</v>
      </c>
      <c r="C5" s="5" t="inlineStr">
        <is>
          <t>uniform_pct</t>
        </is>
      </c>
      <c r="D5" s="5">
        <f>'Inputs_Data'!B6*0.95</f>
        <v/>
      </c>
      <c r="E5" s="5" t="n">
        <v>0</v>
      </c>
      <c r="F5" s="5" t="n">
        <v>0</v>
      </c>
      <c r="G5" s="8" t="n">
        <v>0.2</v>
      </c>
      <c r="H5" s="5" t="inlineStr">
        <is>
          <t>AI dispatch + predictive maintenance reduces non-electric OPEX</t>
        </is>
      </c>
    </row>
    <row r="6">
      <c r="A6" s="5" t="inlineStr">
        <is>
          <t>Tier2_UniformAI_35</t>
        </is>
      </c>
      <c r="B6" s="5" t="n">
        <v>10</v>
      </c>
      <c r="C6" s="5" t="inlineStr">
        <is>
          <t>uniform_pct</t>
        </is>
      </c>
      <c r="D6" s="5">
        <f>'Inputs_Data'!B6*0.97</f>
        <v/>
      </c>
      <c r="E6" s="5" t="n">
        <v>0</v>
      </c>
      <c r="F6" s="5" t="n">
        <v>0</v>
      </c>
      <c r="G6" s="8" t="n">
        <v>0.35</v>
      </c>
      <c r="H6" s="5" t="inlineStr">
        <is>
          <t>Higher AI ops maturity; still within cited ranges</t>
        </is>
      </c>
    </row>
    <row r="7">
      <c r="A7" s="5" t="inlineStr">
        <is>
          <t>Tier3_ElecOnly_40</t>
        </is>
      </c>
      <c r="B7" s="5" t="n">
        <v>10</v>
      </c>
      <c r="C7" s="5" t="inlineStr">
        <is>
          <t>electricity_only_pct</t>
        </is>
      </c>
      <c r="D7" s="5">
        <f>'Inputs_Data'!B6*0.96</f>
        <v/>
      </c>
      <c r="E7" s="5" t="n">
        <v>0</v>
      </c>
      <c r="F7" s="5" t="n">
        <v>0</v>
      </c>
      <c r="G7" s="8" t="n">
        <v>0.4</v>
      </c>
      <c r="H7" s="5" t="inlineStr">
        <is>
          <t>Adaptive dimming/controls reduce electricity cost</t>
        </is>
      </c>
    </row>
    <row r="8">
      <c r="A8" s="5" t="inlineStr">
        <is>
          <t>Tier4_ElecOnly_60</t>
        </is>
      </c>
      <c r="B8" s="5" t="n">
        <v>10</v>
      </c>
      <c r="C8" s="5" t="inlineStr">
        <is>
          <t>electricity_only_pct</t>
        </is>
      </c>
      <c r="D8" s="5">
        <f>'Inputs_Data'!B6*0.98</f>
        <v/>
      </c>
      <c r="E8" s="5" t="n">
        <v>0</v>
      </c>
      <c r="F8" s="5" t="n">
        <v>0</v>
      </c>
      <c r="G8" s="8" t="n">
        <v>0.6</v>
      </c>
      <c r="H8" s="5" t="inlineStr">
        <is>
          <t>Aggressive controls (case-like), needs stronger acceptance</t>
        </is>
      </c>
    </row>
    <row r="9">
      <c r="A9" s="5" t="inlineStr">
        <is>
          <t>Tier5_AISolar</t>
        </is>
      </c>
      <c r="B9" s="5" t="n">
        <v>10</v>
      </c>
      <c r="C9" s="5" t="inlineStr">
        <is>
          <t>ai_plus_solar</t>
        </is>
      </c>
      <c r="D9" s="5">
        <f>'Inputs_Data'!B6*1.05</f>
        <v/>
      </c>
      <c r="E9" s="5" t="n">
        <v>0</v>
      </c>
      <c r="F9" s="5" t="n">
        <v>0</v>
      </c>
      <c r="G9" s="8" t="n">
        <v>0</v>
      </c>
      <c r="H9" s="5" t="inlineStr">
        <is>
          <t>AI+Solar: electricity OPEX to 0 (engineering/contract assumption)</t>
        </is>
      </c>
    </row>
    <row r="10">
      <c r="A10" s="5" t="inlineStr">
        <is>
          <t>Tier6_Upfront_Prepay</t>
        </is>
      </c>
      <c r="B10" s="5" t="n">
        <v>10</v>
      </c>
      <c r="C10" s="5" t="inlineStr">
        <is>
          <t>uniform_pct</t>
        </is>
      </c>
      <c r="D10" s="5">
        <f>'Inputs_Data'!B6*1.00</f>
        <v/>
      </c>
      <c r="E10" s="5" t="n">
        <v>1000000</v>
      </c>
      <c r="F10" s="5" t="n">
        <v>0</v>
      </c>
      <c r="G10" s="8" t="n">
        <v>0.25</v>
      </c>
      <c r="H10" s="5" t="inlineStr">
        <is>
          <t>Upfront as prepayment reduces annual fee; improves payback</t>
        </is>
      </c>
    </row>
    <row r="11">
      <c r="A11" s="5" t="inlineStr">
        <is>
          <t>Tier7_TailDiscount</t>
        </is>
      </c>
      <c r="B11" s="5" t="n">
        <v>10</v>
      </c>
      <c r="C11" s="5" t="inlineStr">
        <is>
          <t>uniform_pct</t>
        </is>
      </c>
      <c r="D11" s="5">
        <f>'Inputs_Data'!B6*1.02</f>
        <v/>
      </c>
      <c r="E11" s="5" t="n">
        <v>0</v>
      </c>
      <c r="F11" s="5" t="n">
        <v>250000</v>
      </c>
      <c r="G11" s="8" t="n">
        <v>0.25</v>
      </c>
      <c r="H11" s="5" t="inlineStr">
        <is>
          <t>SLA-style tail discount in last 4 years</t>
        </is>
      </c>
    </row>
    <row r="12">
      <c r="A12" s="5" t="inlineStr">
        <is>
          <t>Tier8_HigherFee_StrongerSLA</t>
        </is>
      </c>
      <c r="B12" s="5" t="n">
        <v>10</v>
      </c>
      <c r="C12" s="5" t="inlineStr">
        <is>
          <t>uniform_pct</t>
        </is>
      </c>
      <c r="D12" s="5">
        <f>'Inputs_Data'!B6*1.08</f>
        <v/>
      </c>
      <c r="E12" s="5" t="n">
        <v>0</v>
      </c>
      <c r="F12" s="5" t="n">
        <v>350000</v>
      </c>
      <c r="G12" s="8" t="n">
        <v>0.3</v>
      </c>
      <c r="H12" s="5" t="inlineStr">
        <is>
          <t>Higher fee but more SLA credit; keep client whole</t>
        </is>
      </c>
    </row>
    <row r="13">
      <c r="A13" s="5" t="inlineStr">
        <is>
          <t>Tier9_MidTerm_8y</t>
        </is>
      </c>
      <c r="B13" s="5" t="n">
        <v>8</v>
      </c>
      <c r="C13" s="5" t="inlineStr">
        <is>
          <t>uniform_pct</t>
        </is>
      </c>
      <c r="D13" s="5">
        <f>'Inputs_Data'!B6*1.00</f>
        <v/>
      </c>
      <c r="E13" s="5" t="n">
        <v>500000</v>
      </c>
      <c r="F13" s="5" t="n">
        <v>0</v>
      </c>
      <c r="G13" s="8" t="n">
        <v>0.3</v>
      </c>
      <c r="H13" s="5" t="inlineStr">
        <is>
          <t>Shorter term with upfront to keep 36m payback</t>
        </is>
      </c>
    </row>
    <row r="14">
      <c r="A14" s="5" t="inlineStr">
        <is>
          <t>Tier10_Conservative</t>
        </is>
      </c>
      <c r="B14" s="5" t="n">
        <v>10</v>
      </c>
      <c r="C14" s="5" t="inlineStr">
        <is>
          <t>uniform_pct</t>
        </is>
      </c>
      <c r="D14" s="5">
        <f>'Inputs_Data'!B6*0.92</f>
        <v/>
      </c>
      <c r="E14" s="5" t="n">
        <v>0</v>
      </c>
      <c r="F14" s="5" t="n">
        <v>0</v>
      </c>
      <c r="G14" s="8" t="n">
        <v>0.1</v>
      </c>
      <c r="H14" s="5" t="inlineStr">
        <is>
          <t>Low fee + modest AI improvements (very conservative)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Model (formula-driven)</t>
        </is>
      </c>
    </row>
    <row r="2">
      <c r="A2" s="2" t="inlineStr">
        <is>
          <t>Each scenario computed via formulas from Inputs_Data + Assumptions.</t>
        </is>
      </c>
    </row>
    <row r="4">
      <c r="A4" s="6" t="inlineStr">
        <is>
          <t>Scenario summary metrics (computed)</t>
        </is>
      </c>
    </row>
    <row r="5">
      <c r="A5" s="4" t="inlineStr">
        <is>
          <t>Tier</t>
        </is>
      </c>
      <c r="B5" s="4" t="inlineStr">
        <is>
          <t>ClientPay_Y1</t>
        </is>
      </c>
      <c r="C5" s="4" t="inlineStr">
        <is>
          <t>BaselinePay_Y1</t>
        </is>
      </c>
      <c r="D5" s="4" t="inlineStr">
        <is>
          <t>ClientSavings_Y1</t>
        </is>
      </c>
      <c r="E5" s="4" t="inlineStr">
        <is>
          <t>LaaS_CashOPEX_Y1</t>
        </is>
      </c>
      <c r="F5" s="4" t="inlineStr">
        <is>
          <t>Baseline_CashOPEX_Y1</t>
        </is>
      </c>
      <c r="G5" s="4" t="inlineStr">
        <is>
          <t>ProviderGP_Uplift_Y1</t>
        </is>
      </c>
      <c r="H5" s="4" t="inlineStr">
        <is>
          <t>Payback_months(approx)</t>
        </is>
      </c>
      <c r="I5" s="4" t="inlineStr">
        <is>
          <t>WinWin?</t>
        </is>
      </c>
    </row>
    <row r="6">
      <c r="A6" s="5">
        <f>'Scenarios_10'!A5</f>
        <v/>
      </c>
      <c r="B6" s="9">
        <f>MAX(0,'Scenarios_10'!D5-'Scenarios_10'!E5/'Scenarios_10'!B5)</f>
        <v/>
      </c>
      <c r="C6" s="9">
        <f>'Inputs_Data'!B6</f>
        <v/>
      </c>
      <c r="D6" s="9">
        <f>('Inputs_Data'!B6-(MAX(0,'Scenarios_10'!D5-'Scenarios_10'!E5/'Scenarios_10'!B5)))</f>
        <v/>
      </c>
      <c r="E6" s="9">
        <f>IF('Scenarios_10'!C5="uniform_pct",'Inputs_Data'!E6*(1-MIN('Scenarios_10'!G5,'Assumptions'!B10)),IF('Scenarios_10'!C5="electricity_only_pct",('Inputs_Data'!C6*(1-MIN('Scenarios_10'!G5,'Assumptions'!B10)))+'Inputs_Data'!D6,0+('Inputs_Data'!D6*(1-AVERAGE('Assumptions'!B6,'Assumptions'!B7,'Assumptions'!B8,'Assumptions'!B9)))))</f>
        <v/>
      </c>
      <c r="F6" s="9">
        <f>'Inputs_Data'!E6</f>
        <v/>
      </c>
      <c r="G6" s="9">
        <f>((MAX(0,'Scenarios_10'!D5-'Scenarios_10'!E5/'Scenarios_10'!B5)-(IF('Scenarios_10'!C5="uniform_pct",'Inputs_Data'!E6*(1-MIN('Scenarios_10'!G5,'Assumptions'!B10)),IF('Scenarios_10'!C5="electricity_only_pct",('Inputs_Data'!C6*(1-MIN('Scenarios_10'!G5,'Assumptions'!B10)))+'Inputs_Data'!D6,0+('Inputs_Data'!D6*(1-AVERAGE('Assumptions'!B6,'Assumptions'!B7,'Assumptions'!B8,'Assumptions'!B9)))))+'Inputs_Data'!F6))-('Inputs_Data'!B6-('Inputs_Data'!E6+'Inputs_Data'!F6)))</f>
        <v/>
      </c>
      <c r="H6" s="10">
        <f>IF((MAX(0,'Scenarios_10'!D5-'Scenarios_10'!E5/'Scenarios_10'!B5)-(IF('Scenarios_10'!C5="uniform_pct",'Inputs_Data'!E6*(1-MIN('Scenarios_10'!G5,'Assumptions'!B10)),IF('Scenarios_10'!C5="electricity_only_pct",('Inputs_Data'!C6*(1-MIN('Scenarios_10'!G5,'Assumptions'!B10)))+'Inputs_Data'!D6,0+('Inputs_Data'!D6*(1-AVERAGE('Assumptions'!B6,'Assumptions'!B7,'Assumptions'!B8,'Assumptions'!B9)))))))&lt;=0,999,ROUNDUP('Inputs_Data'!H5/((MAX(0,'Scenarios_10'!D5-'Scenarios_10'!E5/'Scenarios_10'!B5)-(IF('Scenarios_10'!C5="uniform_pct",'Inputs_Data'!E6*(1-MIN('Scenarios_10'!G5,'Assumptions'!B10)),IF('Scenarios_10'!C5="electricity_only_pct",('Inputs_Data'!C6*(1-MIN('Scenarios_10'!G5,'Assumptions'!B10)))+'Inputs_Data'!D6,0+('Inputs_Data'!D6*(1-AVERAGE('Assumptions'!B6,'Assumptions'!B7,'Assumptions'!B8,'Assumptions'!B9)))))))/12),0))</f>
        <v/>
      </c>
      <c r="I6" s="5">
        <f>AND(MAX(0,'Scenarios_10'!D5-'Scenarios_10'!E5/'Scenarios_10'!B5)&lt;='Inputs_Data'!B6,((MAX(0,'Scenarios_10'!D5-'Scenarios_10'!E5/'Scenarios_10'!B5)-(IF('Scenarios_10'!C5="uniform_pct",'Inputs_Data'!E6*(1-MIN('Scenarios_10'!G5,'Assumptions'!B10)),IF('Scenarios_10'!C5="electricity_only_pct",('Inputs_Data'!C6*(1-MIN('Scenarios_10'!G5,'Assumptions'!B10)))+'Inputs_Data'!D6,0+('Inputs_Data'!D6*(1-AVERAGE('Assumptions'!B6,'Assumptions'!B7,'Assumptions'!B8,'Assumptions'!B9)))))+'Inputs_Data'!F6))-('Inputs_Data'!B6-('Inputs_Data'!E6+'Inputs_Data'!F6)))&gt;=0,IF((MAX(0,'Scenarios_10'!D5-'Scenarios_10'!E5/'Scenarios_10'!B5)-(IF('Scenarios_10'!C5="uniform_pct",'Inputs_Data'!E6*(1-MIN('Scenarios_10'!G5,'Assumptions'!B10)),IF('Scenarios_10'!C5="electricity_only_pct",('Inputs_Data'!C6*(1-MIN('Scenarios_10'!G5,'Assumptions'!B10)))+'Inputs_Data'!D6,0+('Inputs_Data'!D6*(1-AVERAGE('Assumptions'!B6,'Assumptions'!B7,'Assumptions'!B8,'Assumptions'!B9)))))))&lt;=0,999,ROUNDUP('Inputs_Data'!H5/((MAX(0,'Scenarios_10'!D5-'Scenarios_10'!E5/'Scenarios_10'!B5)-(IF('Scenarios_10'!C5="uniform_pct",'Inputs_Data'!E6*(1-MIN('Scenarios_10'!G5,'Assumptions'!B10)),IF('Scenarios_10'!C5="electricity_only_pct",('Inputs_Data'!C6*(1-MIN('Scenarios_10'!G5,'Assumptions'!B10)))+'Inputs_Data'!D6,0+('Inputs_Data'!D6*(1-AVERAGE('Assumptions'!B6,'Assumptions'!B7,'Assumptions'!B8,'Assumptions'!B9)))))))/12),0))&lt;=36)</f>
        <v/>
      </c>
    </row>
    <row r="7">
      <c r="A7" s="5">
        <f>'Scenarios_10'!A6</f>
        <v/>
      </c>
      <c r="B7" s="9">
        <f>MAX(0,'Scenarios_10'!D6-'Scenarios_10'!E6/'Scenarios_10'!B6)</f>
        <v/>
      </c>
      <c r="C7" s="9">
        <f>'Inputs_Data'!B6</f>
        <v/>
      </c>
      <c r="D7" s="9">
        <f>('Inputs_Data'!B6-(MAX(0,'Scenarios_10'!D6-'Scenarios_10'!E6/'Scenarios_10'!B6)))</f>
        <v/>
      </c>
      <c r="E7" s="9">
        <f>IF('Scenarios_10'!C6="uniform_pct",'Inputs_Data'!E6*(1-MIN('Scenarios_10'!G6,'Assumptions'!B10)),IF('Scenarios_10'!C6="electricity_only_pct",('Inputs_Data'!C6*(1-MIN('Scenarios_10'!G6,'Assumptions'!B10)))+'Inputs_Data'!D6,0+('Inputs_Data'!D6*(1-AVERAGE('Assumptions'!B6,'Assumptions'!B7,'Assumptions'!B8,'Assumptions'!B9)))))</f>
        <v/>
      </c>
      <c r="F7" s="9">
        <f>'Inputs_Data'!E6</f>
        <v/>
      </c>
      <c r="G7" s="9">
        <f>((MAX(0,'Scenarios_10'!D6-'Scenarios_10'!E6/'Scenarios_10'!B6)-(IF('Scenarios_10'!C6="uniform_pct",'Inputs_Data'!E6*(1-MIN('Scenarios_10'!G6,'Assumptions'!B10)),IF('Scenarios_10'!C6="electricity_only_pct",('Inputs_Data'!C6*(1-MIN('Scenarios_10'!G6,'Assumptions'!B10)))+'Inputs_Data'!D6,0+('Inputs_Data'!D6*(1-AVERAGE('Assumptions'!B6,'Assumptions'!B7,'Assumptions'!B8,'Assumptions'!B9)))))+'Inputs_Data'!F6))-('Inputs_Data'!B6-('Inputs_Data'!E6+'Inputs_Data'!F6)))</f>
        <v/>
      </c>
      <c r="H7" s="10">
        <f>IF((MAX(0,'Scenarios_10'!D6-'Scenarios_10'!E6/'Scenarios_10'!B6)-(IF('Scenarios_10'!C6="uniform_pct",'Inputs_Data'!E6*(1-MIN('Scenarios_10'!G6,'Assumptions'!B10)),IF('Scenarios_10'!C6="electricity_only_pct",('Inputs_Data'!C6*(1-MIN('Scenarios_10'!G6,'Assumptions'!B10)))+'Inputs_Data'!D6,0+('Inputs_Data'!D6*(1-AVERAGE('Assumptions'!B6,'Assumptions'!B7,'Assumptions'!B8,'Assumptions'!B9)))))))&lt;=0,999,ROUNDUP('Inputs_Data'!H5/((MAX(0,'Scenarios_10'!D6-'Scenarios_10'!E6/'Scenarios_10'!B6)-(IF('Scenarios_10'!C6="uniform_pct",'Inputs_Data'!E6*(1-MIN('Scenarios_10'!G6,'Assumptions'!B10)),IF('Scenarios_10'!C6="electricity_only_pct",('Inputs_Data'!C6*(1-MIN('Scenarios_10'!G6,'Assumptions'!B10)))+'Inputs_Data'!D6,0+('Inputs_Data'!D6*(1-AVERAGE('Assumptions'!B6,'Assumptions'!B7,'Assumptions'!B8,'Assumptions'!B9)))))))/12),0))</f>
        <v/>
      </c>
      <c r="I7" s="5">
        <f>AND(MAX(0,'Scenarios_10'!D6-'Scenarios_10'!E6/'Scenarios_10'!B6)&lt;='Inputs_Data'!B6,((MAX(0,'Scenarios_10'!D6-'Scenarios_10'!E6/'Scenarios_10'!B6)-(IF('Scenarios_10'!C6="uniform_pct",'Inputs_Data'!E6*(1-MIN('Scenarios_10'!G6,'Assumptions'!B10)),IF('Scenarios_10'!C6="electricity_only_pct",('Inputs_Data'!C6*(1-MIN('Scenarios_10'!G6,'Assumptions'!B10)))+'Inputs_Data'!D6,0+('Inputs_Data'!D6*(1-AVERAGE('Assumptions'!B6,'Assumptions'!B7,'Assumptions'!B8,'Assumptions'!B9)))))+'Inputs_Data'!F6))-('Inputs_Data'!B6-('Inputs_Data'!E6+'Inputs_Data'!F6)))&gt;=0,IF((MAX(0,'Scenarios_10'!D6-'Scenarios_10'!E6/'Scenarios_10'!B6)-(IF('Scenarios_10'!C6="uniform_pct",'Inputs_Data'!E6*(1-MIN('Scenarios_10'!G6,'Assumptions'!B10)),IF('Scenarios_10'!C6="electricity_only_pct",('Inputs_Data'!C6*(1-MIN('Scenarios_10'!G6,'Assumptions'!B10)))+'Inputs_Data'!D6,0+('Inputs_Data'!D6*(1-AVERAGE('Assumptions'!B6,'Assumptions'!B7,'Assumptions'!B8,'Assumptions'!B9)))))))&lt;=0,999,ROUNDUP('Inputs_Data'!H5/((MAX(0,'Scenarios_10'!D6-'Scenarios_10'!E6/'Scenarios_10'!B6)-(IF('Scenarios_10'!C6="uniform_pct",'Inputs_Data'!E6*(1-MIN('Scenarios_10'!G6,'Assumptions'!B10)),IF('Scenarios_10'!C6="electricity_only_pct",('Inputs_Data'!C6*(1-MIN('Scenarios_10'!G6,'Assumptions'!B10)))+'Inputs_Data'!D6,0+('Inputs_Data'!D6*(1-AVERAGE('Assumptions'!B6,'Assumptions'!B7,'Assumptions'!B8,'Assumptions'!B9)))))))/12),0))&lt;=36)</f>
        <v/>
      </c>
    </row>
    <row r="8">
      <c r="A8" s="5">
        <f>'Scenarios_10'!A7</f>
        <v/>
      </c>
      <c r="B8" s="9">
        <f>MAX(0,'Scenarios_10'!D7-'Scenarios_10'!E7/'Scenarios_10'!B7)</f>
        <v/>
      </c>
      <c r="C8" s="9">
        <f>'Inputs_Data'!B6</f>
        <v/>
      </c>
      <c r="D8" s="9">
        <f>('Inputs_Data'!B6-(MAX(0,'Scenarios_10'!D7-'Scenarios_10'!E7/'Scenarios_10'!B7)))</f>
        <v/>
      </c>
      <c r="E8" s="9">
        <f>IF('Scenarios_10'!C7="uniform_pct",'Inputs_Data'!E6*(1-MIN('Scenarios_10'!G7,'Assumptions'!B10)),IF('Scenarios_10'!C7="electricity_only_pct",('Inputs_Data'!C6*(1-MIN('Scenarios_10'!G7,'Assumptions'!B10)))+'Inputs_Data'!D6,0+('Inputs_Data'!D6*(1-AVERAGE('Assumptions'!B6,'Assumptions'!B7,'Assumptions'!B8,'Assumptions'!B9)))))</f>
        <v/>
      </c>
      <c r="F8" s="9">
        <f>'Inputs_Data'!E6</f>
        <v/>
      </c>
      <c r="G8" s="9">
        <f>((MAX(0,'Scenarios_10'!D7-'Scenarios_10'!E7/'Scenarios_10'!B7)-(IF('Scenarios_10'!C7="uniform_pct",'Inputs_Data'!E6*(1-MIN('Scenarios_10'!G7,'Assumptions'!B10)),IF('Scenarios_10'!C7="electricity_only_pct",('Inputs_Data'!C6*(1-MIN('Scenarios_10'!G7,'Assumptions'!B10)))+'Inputs_Data'!D6,0+('Inputs_Data'!D6*(1-AVERAGE('Assumptions'!B6,'Assumptions'!B7,'Assumptions'!B8,'Assumptions'!B9)))))+'Inputs_Data'!F6))-('Inputs_Data'!B6-('Inputs_Data'!E6+'Inputs_Data'!F6)))</f>
        <v/>
      </c>
      <c r="H8" s="10">
        <f>IF((MAX(0,'Scenarios_10'!D7-'Scenarios_10'!E7/'Scenarios_10'!B7)-(IF('Scenarios_10'!C7="uniform_pct",'Inputs_Data'!E6*(1-MIN('Scenarios_10'!G7,'Assumptions'!B10)),IF('Scenarios_10'!C7="electricity_only_pct",('Inputs_Data'!C6*(1-MIN('Scenarios_10'!G7,'Assumptions'!B10)))+'Inputs_Data'!D6,0+('Inputs_Data'!D6*(1-AVERAGE('Assumptions'!B6,'Assumptions'!B7,'Assumptions'!B8,'Assumptions'!B9)))))))&lt;=0,999,ROUNDUP('Inputs_Data'!H5/((MAX(0,'Scenarios_10'!D7-'Scenarios_10'!E7/'Scenarios_10'!B7)-(IF('Scenarios_10'!C7="uniform_pct",'Inputs_Data'!E6*(1-MIN('Scenarios_10'!G7,'Assumptions'!B10)),IF('Scenarios_10'!C7="electricity_only_pct",('Inputs_Data'!C6*(1-MIN('Scenarios_10'!G7,'Assumptions'!B10)))+'Inputs_Data'!D6,0+('Inputs_Data'!D6*(1-AVERAGE('Assumptions'!B6,'Assumptions'!B7,'Assumptions'!B8,'Assumptions'!B9)))))))/12),0))</f>
        <v/>
      </c>
      <c r="I8" s="5">
        <f>AND(MAX(0,'Scenarios_10'!D7-'Scenarios_10'!E7/'Scenarios_10'!B7)&lt;='Inputs_Data'!B6,((MAX(0,'Scenarios_10'!D7-'Scenarios_10'!E7/'Scenarios_10'!B7)-(IF('Scenarios_10'!C7="uniform_pct",'Inputs_Data'!E6*(1-MIN('Scenarios_10'!G7,'Assumptions'!B10)),IF('Scenarios_10'!C7="electricity_only_pct",('Inputs_Data'!C6*(1-MIN('Scenarios_10'!G7,'Assumptions'!B10)))+'Inputs_Data'!D6,0+('Inputs_Data'!D6*(1-AVERAGE('Assumptions'!B6,'Assumptions'!B7,'Assumptions'!B8,'Assumptions'!B9)))))+'Inputs_Data'!F6))-('Inputs_Data'!B6-('Inputs_Data'!E6+'Inputs_Data'!F6)))&gt;=0,IF((MAX(0,'Scenarios_10'!D7-'Scenarios_10'!E7/'Scenarios_10'!B7)-(IF('Scenarios_10'!C7="uniform_pct",'Inputs_Data'!E6*(1-MIN('Scenarios_10'!G7,'Assumptions'!B10)),IF('Scenarios_10'!C7="electricity_only_pct",('Inputs_Data'!C6*(1-MIN('Scenarios_10'!G7,'Assumptions'!B10)))+'Inputs_Data'!D6,0+('Inputs_Data'!D6*(1-AVERAGE('Assumptions'!B6,'Assumptions'!B7,'Assumptions'!B8,'Assumptions'!B9)))))))&lt;=0,999,ROUNDUP('Inputs_Data'!H5/((MAX(0,'Scenarios_10'!D7-'Scenarios_10'!E7/'Scenarios_10'!B7)-(IF('Scenarios_10'!C7="uniform_pct",'Inputs_Data'!E6*(1-MIN('Scenarios_10'!G7,'Assumptions'!B10)),IF('Scenarios_10'!C7="electricity_only_pct",('Inputs_Data'!C6*(1-MIN('Scenarios_10'!G7,'Assumptions'!B10)))+'Inputs_Data'!D6,0+('Inputs_Data'!D6*(1-AVERAGE('Assumptions'!B6,'Assumptions'!B7,'Assumptions'!B8,'Assumptions'!B9)))))))/12),0))&lt;=36)</f>
        <v/>
      </c>
    </row>
    <row r="9">
      <c r="A9" s="5">
        <f>'Scenarios_10'!A8</f>
        <v/>
      </c>
      <c r="B9" s="9">
        <f>MAX(0,'Scenarios_10'!D8-'Scenarios_10'!E8/'Scenarios_10'!B8)</f>
        <v/>
      </c>
      <c r="C9" s="9">
        <f>'Inputs_Data'!B6</f>
        <v/>
      </c>
      <c r="D9" s="9">
        <f>('Inputs_Data'!B6-(MAX(0,'Scenarios_10'!D8-'Scenarios_10'!E8/'Scenarios_10'!B8)))</f>
        <v/>
      </c>
      <c r="E9" s="9">
        <f>IF('Scenarios_10'!C8="uniform_pct",'Inputs_Data'!E6*(1-MIN('Scenarios_10'!G8,'Assumptions'!B10)),IF('Scenarios_10'!C8="electricity_only_pct",('Inputs_Data'!C6*(1-MIN('Scenarios_10'!G8,'Assumptions'!B10)))+'Inputs_Data'!D6,0+('Inputs_Data'!D6*(1-AVERAGE('Assumptions'!B6,'Assumptions'!B7,'Assumptions'!B8,'Assumptions'!B9)))))</f>
        <v/>
      </c>
      <c r="F9" s="9">
        <f>'Inputs_Data'!E6</f>
        <v/>
      </c>
      <c r="G9" s="9">
        <f>((MAX(0,'Scenarios_10'!D8-'Scenarios_10'!E8/'Scenarios_10'!B8)-(IF('Scenarios_10'!C8="uniform_pct",'Inputs_Data'!E6*(1-MIN('Scenarios_10'!G8,'Assumptions'!B10)),IF('Scenarios_10'!C8="electricity_only_pct",('Inputs_Data'!C6*(1-MIN('Scenarios_10'!G8,'Assumptions'!B10)))+'Inputs_Data'!D6,0+('Inputs_Data'!D6*(1-AVERAGE('Assumptions'!B6,'Assumptions'!B7,'Assumptions'!B8,'Assumptions'!B9)))))+'Inputs_Data'!F6))-('Inputs_Data'!B6-('Inputs_Data'!E6+'Inputs_Data'!F6)))</f>
        <v/>
      </c>
      <c r="H9" s="10">
        <f>IF((MAX(0,'Scenarios_10'!D8-'Scenarios_10'!E8/'Scenarios_10'!B8)-(IF('Scenarios_10'!C8="uniform_pct",'Inputs_Data'!E6*(1-MIN('Scenarios_10'!G8,'Assumptions'!B10)),IF('Scenarios_10'!C8="electricity_only_pct",('Inputs_Data'!C6*(1-MIN('Scenarios_10'!G8,'Assumptions'!B10)))+'Inputs_Data'!D6,0+('Inputs_Data'!D6*(1-AVERAGE('Assumptions'!B6,'Assumptions'!B7,'Assumptions'!B8,'Assumptions'!B9)))))))&lt;=0,999,ROUNDUP('Inputs_Data'!H5/((MAX(0,'Scenarios_10'!D8-'Scenarios_10'!E8/'Scenarios_10'!B8)-(IF('Scenarios_10'!C8="uniform_pct",'Inputs_Data'!E6*(1-MIN('Scenarios_10'!G8,'Assumptions'!B10)),IF('Scenarios_10'!C8="electricity_only_pct",('Inputs_Data'!C6*(1-MIN('Scenarios_10'!G8,'Assumptions'!B10)))+'Inputs_Data'!D6,0+('Inputs_Data'!D6*(1-AVERAGE('Assumptions'!B6,'Assumptions'!B7,'Assumptions'!B8,'Assumptions'!B9)))))))/12),0))</f>
        <v/>
      </c>
      <c r="I9" s="5">
        <f>AND(MAX(0,'Scenarios_10'!D8-'Scenarios_10'!E8/'Scenarios_10'!B8)&lt;='Inputs_Data'!B6,((MAX(0,'Scenarios_10'!D8-'Scenarios_10'!E8/'Scenarios_10'!B8)-(IF('Scenarios_10'!C8="uniform_pct",'Inputs_Data'!E6*(1-MIN('Scenarios_10'!G8,'Assumptions'!B10)),IF('Scenarios_10'!C8="electricity_only_pct",('Inputs_Data'!C6*(1-MIN('Scenarios_10'!G8,'Assumptions'!B10)))+'Inputs_Data'!D6,0+('Inputs_Data'!D6*(1-AVERAGE('Assumptions'!B6,'Assumptions'!B7,'Assumptions'!B8,'Assumptions'!B9)))))+'Inputs_Data'!F6))-('Inputs_Data'!B6-('Inputs_Data'!E6+'Inputs_Data'!F6)))&gt;=0,IF((MAX(0,'Scenarios_10'!D8-'Scenarios_10'!E8/'Scenarios_10'!B8)-(IF('Scenarios_10'!C8="uniform_pct",'Inputs_Data'!E6*(1-MIN('Scenarios_10'!G8,'Assumptions'!B10)),IF('Scenarios_10'!C8="electricity_only_pct",('Inputs_Data'!C6*(1-MIN('Scenarios_10'!G8,'Assumptions'!B10)))+'Inputs_Data'!D6,0+('Inputs_Data'!D6*(1-AVERAGE('Assumptions'!B6,'Assumptions'!B7,'Assumptions'!B8,'Assumptions'!B9)))))))&lt;=0,999,ROUNDUP('Inputs_Data'!H5/((MAX(0,'Scenarios_10'!D8-'Scenarios_10'!E8/'Scenarios_10'!B8)-(IF('Scenarios_10'!C8="uniform_pct",'Inputs_Data'!E6*(1-MIN('Scenarios_10'!G8,'Assumptions'!B10)),IF('Scenarios_10'!C8="electricity_only_pct",('Inputs_Data'!C6*(1-MIN('Scenarios_10'!G8,'Assumptions'!B10)))+'Inputs_Data'!D6,0+('Inputs_Data'!D6*(1-AVERAGE('Assumptions'!B6,'Assumptions'!B7,'Assumptions'!B8,'Assumptions'!B9)))))))/12),0))&lt;=36)</f>
        <v/>
      </c>
    </row>
    <row r="10">
      <c r="A10" s="5">
        <f>'Scenarios_10'!A9</f>
        <v/>
      </c>
      <c r="B10" s="9">
        <f>MAX(0,'Scenarios_10'!D9-'Scenarios_10'!E9/'Scenarios_10'!B9)</f>
        <v/>
      </c>
      <c r="C10" s="9">
        <f>'Inputs_Data'!B6</f>
        <v/>
      </c>
      <c r="D10" s="9">
        <f>('Inputs_Data'!B6-(MAX(0,'Scenarios_10'!D9-'Scenarios_10'!E9/'Scenarios_10'!B9)))</f>
        <v/>
      </c>
      <c r="E10" s="9">
        <f>IF('Scenarios_10'!C9="uniform_pct",'Inputs_Data'!E6*(1-MIN('Scenarios_10'!G9,'Assumptions'!B10)),IF('Scenarios_10'!C9="electricity_only_pct",('Inputs_Data'!C6*(1-MIN('Scenarios_10'!G9,'Assumptions'!B10)))+'Inputs_Data'!D6,0+('Inputs_Data'!D6*(1-AVERAGE('Assumptions'!B6,'Assumptions'!B7,'Assumptions'!B8,'Assumptions'!B9)))))</f>
        <v/>
      </c>
      <c r="F10" s="9">
        <f>'Inputs_Data'!E6</f>
        <v/>
      </c>
      <c r="G10" s="9">
        <f>((MAX(0,'Scenarios_10'!D9-'Scenarios_10'!E9/'Scenarios_10'!B9)-(IF('Scenarios_10'!C9="uniform_pct",'Inputs_Data'!E6*(1-MIN('Scenarios_10'!G9,'Assumptions'!B10)),IF('Scenarios_10'!C9="electricity_only_pct",('Inputs_Data'!C6*(1-MIN('Scenarios_10'!G9,'Assumptions'!B10)))+'Inputs_Data'!D6,0+('Inputs_Data'!D6*(1-AVERAGE('Assumptions'!B6,'Assumptions'!B7,'Assumptions'!B8,'Assumptions'!B9)))))+'Inputs_Data'!F6))-('Inputs_Data'!B6-('Inputs_Data'!E6+'Inputs_Data'!F6)))</f>
        <v/>
      </c>
      <c r="H10" s="10">
        <f>IF((MAX(0,'Scenarios_10'!D9-'Scenarios_10'!E9/'Scenarios_10'!B9)-(IF('Scenarios_10'!C9="uniform_pct",'Inputs_Data'!E6*(1-MIN('Scenarios_10'!G9,'Assumptions'!B10)),IF('Scenarios_10'!C9="electricity_only_pct",('Inputs_Data'!C6*(1-MIN('Scenarios_10'!G9,'Assumptions'!B10)))+'Inputs_Data'!D6,0+('Inputs_Data'!D6*(1-AVERAGE('Assumptions'!B6,'Assumptions'!B7,'Assumptions'!B8,'Assumptions'!B9)))))))&lt;=0,999,ROUNDUP('Inputs_Data'!H5/((MAX(0,'Scenarios_10'!D9-'Scenarios_10'!E9/'Scenarios_10'!B9)-(IF('Scenarios_10'!C9="uniform_pct",'Inputs_Data'!E6*(1-MIN('Scenarios_10'!G9,'Assumptions'!B10)),IF('Scenarios_10'!C9="electricity_only_pct",('Inputs_Data'!C6*(1-MIN('Scenarios_10'!G9,'Assumptions'!B10)))+'Inputs_Data'!D6,0+('Inputs_Data'!D6*(1-AVERAGE('Assumptions'!B6,'Assumptions'!B7,'Assumptions'!B8,'Assumptions'!B9)))))))/12),0))</f>
        <v/>
      </c>
      <c r="I10" s="5">
        <f>AND(MAX(0,'Scenarios_10'!D9-'Scenarios_10'!E9/'Scenarios_10'!B9)&lt;='Inputs_Data'!B6,((MAX(0,'Scenarios_10'!D9-'Scenarios_10'!E9/'Scenarios_10'!B9)-(IF('Scenarios_10'!C9="uniform_pct",'Inputs_Data'!E6*(1-MIN('Scenarios_10'!G9,'Assumptions'!B10)),IF('Scenarios_10'!C9="electricity_only_pct",('Inputs_Data'!C6*(1-MIN('Scenarios_10'!G9,'Assumptions'!B10)))+'Inputs_Data'!D6,0+('Inputs_Data'!D6*(1-AVERAGE('Assumptions'!B6,'Assumptions'!B7,'Assumptions'!B8,'Assumptions'!B9)))))+'Inputs_Data'!F6))-('Inputs_Data'!B6-('Inputs_Data'!E6+'Inputs_Data'!F6)))&gt;=0,IF((MAX(0,'Scenarios_10'!D9-'Scenarios_10'!E9/'Scenarios_10'!B9)-(IF('Scenarios_10'!C9="uniform_pct",'Inputs_Data'!E6*(1-MIN('Scenarios_10'!G9,'Assumptions'!B10)),IF('Scenarios_10'!C9="electricity_only_pct",('Inputs_Data'!C6*(1-MIN('Scenarios_10'!G9,'Assumptions'!B10)))+'Inputs_Data'!D6,0+('Inputs_Data'!D6*(1-AVERAGE('Assumptions'!B6,'Assumptions'!B7,'Assumptions'!B8,'Assumptions'!B9)))))))&lt;=0,999,ROUNDUP('Inputs_Data'!H5/((MAX(0,'Scenarios_10'!D9-'Scenarios_10'!E9/'Scenarios_10'!B9)-(IF('Scenarios_10'!C9="uniform_pct",'Inputs_Data'!E6*(1-MIN('Scenarios_10'!G9,'Assumptions'!B10)),IF('Scenarios_10'!C9="electricity_only_pct",('Inputs_Data'!C6*(1-MIN('Scenarios_10'!G9,'Assumptions'!B10)))+'Inputs_Data'!D6,0+('Inputs_Data'!D6*(1-AVERAGE('Assumptions'!B6,'Assumptions'!B7,'Assumptions'!B8,'Assumptions'!B9)))))))/12),0))&lt;=36)</f>
        <v/>
      </c>
    </row>
    <row r="11">
      <c r="A11" s="5">
        <f>'Scenarios_10'!A10</f>
        <v/>
      </c>
      <c r="B11" s="9">
        <f>MAX(0,'Scenarios_10'!D10-'Scenarios_10'!E10/'Scenarios_10'!B10)</f>
        <v/>
      </c>
      <c r="C11" s="9">
        <f>'Inputs_Data'!B6</f>
        <v/>
      </c>
      <c r="D11" s="9">
        <f>('Inputs_Data'!B6-(MAX(0,'Scenarios_10'!D10-'Scenarios_10'!E10/'Scenarios_10'!B10)))</f>
        <v/>
      </c>
      <c r="E11" s="9">
        <f>IF('Scenarios_10'!C10="uniform_pct",'Inputs_Data'!E6*(1-MIN('Scenarios_10'!G10,'Assumptions'!B10)),IF('Scenarios_10'!C10="electricity_only_pct",('Inputs_Data'!C6*(1-MIN('Scenarios_10'!G10,'Assumptions'!B10)))+'Inputs_Data'!D6,0+('Inputs_Data'!D6*(1-AVERAGE('Assumptions'!B6,'Assumptions'!B7,'Assumptions'!B8,'Assumptions'!B9)))))</f>
        <v/>
      </c>
      <c r="F11" s="9">
        <f>'Inputs_Data'!E6</f>
        <v/>
      </c>
      <c r="G11" s="9">
        <f>((MAX(0,'Scenarios_10'!D10-'Scenarios_10'!E10/'Scenarios_10'!B10)-(IF('Scenarios_10'!C10="uniform_pct",'Inputs_Data'!E6*(1-MIN('Scenarios_10'!G10,'Assumptions'!B10)),IF('Scenarios_10'!C10="electricity_only_pct",('Inputs_Data'!C6*(1-MIN('Scenarios_10'!G10,'Assumptions'!B10)))+'Inputs_Data'!D6,0+('Inputs_Data'!D6*(1-AVERAGE('Assumptions'!B6,'Assumptions'!B7,'Assumptions'!B8,'Assumptions'!B9)))))+'Inputs_Data'!F6))-('Inputs_Data'!B6-('Inputs_Data'!E6+'Inputs_Data'!F6)))</f>
        <v/>
      </c>
      <c r="H11" s="10">
        <f>IF((MAX(0,'Scenarios_10'!D10-'Scenarios_10'!E10/'Scenarios_10'!B10)-(IF('Scenarios_10'!C10="uniform_pct",'Inputs_Data'!E6*(1-MIN('Scenarios_10'!G10,'Assumptions'!B10)),IF('Scenarios_10'!C10="electricity_only_pct",('Inputs_Data'!C6*(1-MIN('Scenarios_10'!G10,'Assumptions'!B10)))+'Inputs_Data'!D6,0+('Inputs_Data'!D6*(1-AVERAGE('Assumptions'!B6,'Assumptions'!B7,'Assumptions'!B8,'Assumptions'!B9)))))))&lt;=0,999,ROUNDUP('Inputs_Data'!H5/((MAX(0,'Scenarios_10'!D10-'Scenarios_10'!E10/'Scenarios_10'!B10)-(IF('Scenarios_10'!C10="uniform_pct",'Inputs_Data'!E6*(1-MIN('Scenarios_10'!G10,'Assumptions'!B10)),IF('Scenarios_10'!C10="electricity_only_pct",('Inputs_Data'!C6*(1-MIN('Scenarios_10'!G10,'Assumptions'!B10)))+'Inputs_Data'!D6,0+('Inputs_Data'!D6*(1-AVERAGE('Assumptions'!B6,'Assumptions'!B7,'Assumptions'!B8,'Assumptions'!B9)))))))/12),0))</f>
        <v/>
      </c>
      <c r="I11" s="5">
        <f>AND(MAX(0,'Scenarios_10'!D10-'Scenarios_10'!E10/'Scenarios_10'!B10)&lt;='Inputs_Data'!B6,((MAX(0,'Scenarios_10'!D10-'Scenarios_10'!E10/'Scenarios_10'!B10)-(IF('Scenarios_10'!C10="uniform_pct",'Inputs_Data'!E6*(1-MIN('Scenarios_10'!G10,'Assumptions'!B10)),IF('Scenarios_10'!C10="electricity_only_pct",('Inputs_Data'!C6*(1-MIN('Scenarios_10'!G10,'Assumptions'!B10)))+'Inputs_Data'!D6,0+('Inputs_Data'!D6*(1-AVERAGE('Assumptions'!B6,'Assumptions'!B7,'Assumptions'!B8,'Assumptions'!B9)))))+'Inputs_Data'!F6))-('Inputs_Data'!B6-('Inputs_Data'!E6+'Inputs_Data'!F6)))&gt;=0,IF((MAX(0,'Scenarios_10'!D10-'Scenarios_10'!E10/'Scenarios_10'!B10)-(IF('Scenarios_10'!C10="uniform_pct",'Inputs_Data'!E6*(1-MIN('Scenarios_10'!G10,'Assumptions'!B10)),IF('Scenarios_10'!C10="electricity_only_pct",('Inputs_Data'!C6*(1-MIN('Scenarios_10'!G10,'Assumptions'!B10)))+'Inputs_Data'!D6,0+('Inputs_Data'!D6*(1-AVERAGE('Assumptions'!B6,'Assumptions'!B7,'Assumptions'!B8,'Assumptions'!B9)))))))&lt;=0,999,ROUNDUP('Inputs_Data'!H5/((MAX(0,'Scenarios_10'!D10-'Scenarios_10'!E10/'Scenarios_10'!B10)-(IF('Scenarios_10'!C10="uniform_pct",'Inputs_Data'!E6*(1-MIN('Scenarios_10'!G10,'Assumptions'!B10)),IF('Scenarios_10'!C10="electricity_only_pct",('Inputs_Data'!C6*(1-MIN('Scenarios_10'!G10,'Assumptions'!B10)))+'Inputs_Data'!D6,0+('Inputs_Data'!D6*(1-AVERAGE('Assumptions'!B6,'Assumptions'!B7,'Assumptions'!B8,'Assumptions'!B9)))))))/12),0))&lt;=36)</f>
        <v/>
      </c>
    </row>
    <row r="12">
      <c r="A12" s="5">
        <f>'Scenarios_10'!A11</f>
        <v/>
      </c>
      <c r="B12" s="9">
        <f>MAX(0,'Scenarios_10'!D11-'Scenarios_10'!E11/'Scenarios_10'!B11)</f>
        <v/>
      </c>
      <c r="C12" s="9">
        <f>'Inputs_Data'!B6</f>
        <v/>
      </c>
      <c r="D12" s="9">
        <f>('Inputs_Data'!B6-(MAX(0,'Scenarios_10'!D11-'Scenarios_10'!E11/'Scenarios_10'!B11)))</f>
        <v/>
      </c>
      <c r="E12" s="9">
        <f>IF('Scenarios_10'!C11="uniform_pct",'Inputs_Data'!E6*(1-MIN('Scenarios_10'!G11,'Assumptions'!B10)),IF('Scenarios_10'!C11="electricity_only_pct",('Inputs_Data'!C6*(1-MIN('Scenarios_10'!G11,'Assumptions'!B10)))+'Inputs_Data'!D6,0+('Inputs_Data'!D6*(1-AVERAGE('Assumptions'!B6,'Assumptions'!B7,'Assumptions'!B8,'Assumptions'!B9)))))</f>
        <v/>
      </c>
      <c r="F12" s="9">
        <f>'Inputs_Data'!E6</f>
        <v/>
      </c>
      <c r="G12" s="9">
        <f>((MAX(0,'Scenarios_10'!D11-'Scenarios_10'!E11/'Scenarios_10'!B11)-(IF('Scenarios_10'!C11="uniform_pct",'Inputs_Data'!E6*(1-MIN('Scenarios_10'!G11,'Assumptions'!B10)),IF('Scenarios_10'!C11="electricity_only_pct",('Inputs_Data'!C6*(1-MIN('Scenarios_10'!G11,'Assumptions'!B10)))+'Inputs_Data'!D6,0+('Inputs_Data'!D6*(1-AVERAGE('Assumptions'!B6,'Assumptions'!B7,'Assumptions'!B8,'Assumptions'!B9)))))+'Inputs_Data'!F6))-('Inputs_Data'!B6-('Inputs_Data'!E6+'Inputs_Data'!F6)))</f>
        <v/>
      </c>
      <c r="H12" s="10">
        <f>IF((MAX(0,'Scenarios_10'!D11-'Scenarios_10'!E11/'Scenarios_10'!B11)-(IF('Scenarios_10'!C11="uniform_pct",'Inputs_Data'!E6*(1-MIN('Scenarios_10'!G11,'Assumptions'!B10)),IF('Scenarios_10'!C11="electricity_only_pct",('Inputs_Data'!C6*(1-MIN('Scenarios_10'!G11,'Assumptions'!B10)))+'Inputs_Data'!D6,0+('Inputs_Data'!D6*(1-AVERAGE('Assumptions'!B6,'Assumptions'!B7,'Assumptions'!B8,'Assumptions'!B9)))))))&lt;=0,999,ROUNDUP('Inputs_Data'!H5/((MAX(0,'Scenarios_10'!D11-'Scenarios_10'!E11/'Scenarios_10'!B11)-(IF('Scenarios_10'!C11="uniform_pct",'Inputs_Data'!E6*(1-MIN('Scenarios_10'!G11,'Assumptions'!B10)),IF('Scenarios_10'!C11="electricity_only_pct",('Inputs_Data'!C6*(1-MIN('Scenarios_10'!G11,'Assumptions'!B10)))+'Inputs_Data'!D6,0+('Inputs_Data'!D6*(1-AVERAGE('Assumptions'!B6,'Assumptions'!B7,'Assumptions'!B8,'Assumptions'!B9)))))))/12),0))</f>
        <v/>
      </c>
      <c r="I12" s="5">
        <f>AND(MAX(0,'Scenarios_10'!D11-'Scenarios_10'!E11/'Scenarios_10'!B11)&lt;='Inputs_Data'!B6,((MAX(0,'Scenarios_10'!D11-'Scenarios_10'!E11/'Scenarios_10'!B11)-(IF('Scenarios_10'!C11="uniform_pct",'Inputs_Data'!E6*(1-MIN('Scenarios_10'!G11,'Assumptions'!B10)),IF('Scenarios_10'!C11="electricity_only_pct",('Inputs_Data'!C6*(1-MIN('Scenarios_10'!G11,'Assumptions'!B10)))+'Inputs_Data'!D6,0+('Inputs_Data'!D6*(1-AVERAGE('Assumptions'!B6,'Assumptions'!B7,'Assumptions'!B8,'Assumptions'!B9)))))+'Inputs_Data'!F6))-('Inputs_Data'!B6-('Inputs_Data'!E6+'Inputs_Data'!F6)))&gt;=0,IF((MAX(0,'Scenarios_10'!D11-'Scenarios_10'!E11/'Scenarios_10'!B11)-(IF('Scenarios_10'!C11="uniform_pct",'Inputs_Data'!E6*(1-MIN('Scenarios_10'!G11,'Assumptions'!B10)),IF('Scenarios_10'!C11="electricity_only_pct",('Inputs_Data'!C6*(1-MIN('Scenarios_10'!G11,'Assumptions'!B10)))+'Inputs_Data'!D6,0+('Inputs_Data'!D6*(1-AVERAGE('Assumptions'!B6,'Assumptions'!B7,'Assumptions'!B8,'Assumptions'!B9)))))))&lt;=0,999,ROUNDUP('Inputs_Data'!H5/((MAX(0,'Scenarios_10'!D11-'Scenarios_10'!E11/'Scenarios_10'!B11)-(IF('Scenarios_10'!C11="uniform_pct",'Inputs_Data'!E6*(1-MIN('Scenarios_10'!G11,'Assumptions'!B10)),IF('Scenarios_10'!C11="electricity_only_pct",('Inputs_Data'!C6*(1-MIN('Scenarios_10'!G11,'Assumptions'!B10)))+'Inputs_Data'!D6,0+('Inputs_Data'!D6*(1-AVERAGE('Assumptions'!B6,'Assumptions'!B7,'Assumptions'!B8,'Assumptions'!B9)))))))/12),0))&lt;=36)</f>
        <v/>
      </c>
    </row>
    <row r="13">
      <c r="A13" s="5">
        <f>'Scenarios_10'!A12</f>
        <v/>
      </c>
      <c r="B13" s="9">
        <f>MAX(0,'Scenarios_10'!D12-'Scenarios_10'!E12/'Scenarios_10'!B12)</f>
        <v/>
      </c>
      <c r="C13" s="9">
        <f>'Inputs_Data'!B6</f>
        <v/>
      </c>
      <c r="D13" s="9">
        <f>('Inputs_Data'!B6-(MAX(0,'Scenarios_10'!D12-'Scenarios_10'!E12/'Scenarios_10'!B12)))</f>
        <v/>
      </c>
      <c r="E13" s="9">
        <f>IF('Scenarios_10'!C12="uniform_pct",'Inputs_Data'!E6*(1-MIN('Scenarios_10'!G12,'Assumptions'!B10)),IF('Scenarios_10'!C12="electricity_only_pct",('Inputs_Data'!C6*(1-MIN('Scenarios_10'!G12,'Assumptions'!B10)))+'Inputs_Data'!D6,0+('Inputs_Data'!D6*(1-AVERAGE('Assumptions'!B6,'Assumptions'!B7,'Assumptions'!B8,'Assumptions'!B9)))))</f>
        <v/>
      </c>
      <c r="F13" s="9">
        <f>'Inputs_Data'!E6</f>
        <v/>
      </c>
      <c r="G13" s="9">
        <f>((MAX(0,'Scenarios_10'!D12-'Scenarios_10'!E12/'Scenarios_10'!B12)-(IF('Scenarios_10'!C12="uniform_pct",'Inputs_Data'!E6*(1-MIN('Scenarios_10'!G12,'Assumptions'!B10)),IF('Scenarios_10'!C12="electricity_only_pct",('Inputs_Data'!C6*(1-MIN('Scenarios_10'!G12,'Assumptions'!B10)))+'Inputs_Data'!D6,0+('Inputs_Data'!D6*(1-AVERAGE('Assumptions'!B6,'Assumptions'!B7,'Assumptions'!B8,'Assumptions'!B9)))))+'Inputs_Data'!F6))-('Inputs_Data'!B6-('Inputs_Data'!E6+'Inputs_Data'!F6)))</f>
        <v/>
      </c>
      <c r="H13" s="10">
        <f>IF((MAX(0,'Scenarios_10'!D12-'Scenarios_10'!E12/'Scenarios_10'!B12)-(IF('Scenarios_10'!C12="uniform_pct",'Inputs_Data'!E6*(1-MIN('Scenarios_10'!G12,'Assumptions'!B10)),IF('Scenarios_10'!C12="electricity_only_pct",('Inputs_Data'!C6*(1-MIN('Scenarios_10'!G12,'Assumptions'!B10)))+'Inputs_Data'!D6,0+('Inputs_Data'!D6*(1-AVERAGE('Assumptions'!B6,'Assumptions'!B7,'Assumptions'!B8,'Assumptions'!B9)))))))&lt;=0,999,ROUNDUP('Inputs_Data'!H5/((MAX(0,'Scenarios_10'!D12-'Scenarios_10'!E12/'Scenarios_10'!B12)-(IF('Scenarios_10'!C12="uniform_pct",'Inputs_Data'!E6*(1-MIN('Scenarios_10'!G12,'Assumptions'!B10)),IF('Scenarios_10'!C12="electricity_only_pct",('Inputs_Data'!C6*(1-MIN('Scenarios_10'!G12,'Assumptions'!B10)))+'Inputs_Data'!D6,0+('Inputs_Data'!D6*(1-AVERAGE('Assumptions'!B6,'Assumptions'!B7,'Assumptions'!B8,'Assumptions'!B9)))))))/12),0))</f>
        <v/>
      </c>
      <c r="I13" s="5">
        <f>AND(MAX(0,'Scenarios_10'!D12-'Scenarios_10'!E12/'Scenarios_10'!B12)&lt;='Inputs_Data'!B6,((MAX(0,'Scenarios_10'!D12-'Scenarios_10'!E12/'Scenarios_10'!B12)-(IF('Scenarios_10'!C12="uniform_pct",'Inputs_Data'!E6*(1-MIN('Scenarios_10'!G12,'Assumptions'!B10)),IF('Scenarios_10'!C12="electricity_only_pct",('Inputs_Data'!C6*(1-MIN('Scenarios_10'!G12,'Assumptions'!B10)))+'Inputs_Data'!D6,0+('Inputs_Data'!D6*(1-AVERAGE('Assumptions'!B6,'Assumptions'!B7,'Assumptions'!B8,'Assumptions'!B9)))))+'Inputs_Data'!F6))-('Inputs_Data'!B6-('Inputs_Data'!E6+'Inputs_Data'!F6)))&gt;=0,IF((MAX(0,'Scenarios_10'!D12-'Scenarios_10'!E12/'Scenarios_10'!B12)-(IF('Scenarios_10'!C12="uniform_pct",'Inputs_Data'!E6*(1-MIN('Scenarios_10'!G12,'Assumptions'!B10)),IF('Scenarios_10'!C12="electricity_only_pct",('Inputs_Data'!C6*(1-MIN('Scenarios_10'!G12,'Assumptions'!B10)))+'Inputs_Data'!D6,0+('Inputs_Data'!D6*(1-AVERAGE('Assumptions'!B6,'Assumptions'!B7,'Assumptions'!B8,'Assumptions'!B9)))))))&lt;=0,999,ROUNDUP('Inputs_Data'!H5/((MAX(0,'Scenarios_10'!D12-'Scenarios_10'!E12/'Scenarios_10'!B12)-(IF('Scenarios_10'!C12="uniform_pct",'Inputs_Data'!E6*(1-MIN('Scenarios_10'!G12,'Assumptions'!B10)),IF('Scenarios_10'!C12="electricity_only_pct",('Inputs_Data'!C6*(1-MIN('Scenarios_10'!G12,'Assumptions'!B10)))+'Inputs_Data'!D6,0+('Inputs_Data'!D6*(1-AVERAGE('Assumptions'!B6,'Assumptions'!B7,'Assumptions'!B8,'Assumptions'!B9)))))))/12),0))&lt;=36)</f>
        <v/>
      </c>
    </row>
    <row r="14">
      <c r="A14" s="5">
        <f>'Scenarios_10'!A13</f>
        <v/>
      </c>
      <c r="B14" s="9">
        <f>MAX(0,'Scenarios_10'!D13-'Scenarios_10'!E13/'Scenarios_10'!B13)</f>
        <v/>
      </c>
      <c r="C14" s="9">
        <f>'Inputs_Data'!B6</f>
        <v/>
      </c>
      <c r="D14" s="9">
        <f>('Inputs_Data'!B6-(MAX(0,'Scenarios_10'!D13-'Scenarios_10'!E13/'Scenarios_10'!B13)))</f>
        <v/>
      </c>
      <c r="E14" s="9">
        <f>IF('Scenarios_10'!C13="uniform_pct",'Inputs_Data'!E6*(1-MIN('Scenarios_10'!G13,'Assumptions'!B10)),IF('Scenarios_10'!C13="electricity_only_pct",('Inputs_Data'!C6*(1-MIN('Scenarios_10'!G13,'Assumptions'!B10)))+'Inputs_Data'!D6,0+('Inputs_Data'!D6*(1-AVERAGE('Assumptions'!B6,'Assumptions'!B7,'Assumptions'!B8,'Assumptions'!B9)))))</f>
        <v/>
      </c>
      <c r="F14" s="9">
        <f>'Inputs_Data'!E6</f>
        <v/>
      </c>
      <c r="G14" s="9">
        <f>((MAX(0,'Scenarios_10'!D13-'Scenarios_10'!E13/'Scenarios_10'!B13)-(IF('Scenarios_10'!C13="uniform_pct",'Inputs_Data'!E6*(1-MIN('Scenarios_10'!G13,'Assumptions'!B10)),IF('Scenarios_10'!C13="electricity_only_pct",('Inputs_Data'!C6*(1-MIN('Scenarios_10'!G13,'Assumptions'!B10)))+'Inputs_Data'!D6,0+('Inputs_Data'!D6*(1-AVERAGE('Assumptions'!B6,'Assumptions'!B7,'Assumptions'!B8,'Assumptions'!B9)))))+'Inputs_Data'!F6))-('Inputs_Data'!B6-('Inputs_Data'!E6+'Inputs_Data'!F6)))</f>
        <v/>
      </c>
      <c r="H14" s="10">
        <f>IF((MAX(0,'Scenarios_10'!D13-'Scenarios_10'!E13/'Scenarios_10'!B13)-(IF('Scenarios_10'!C13="uniform_pct",'Inputs_Data'!E6*(1-MIN('Scenarios_10'!G13,'Assumptions'!B10)),IF('Scenarios_10'!C13="electricity_only_pct",('Inputs_Data'!C6*(1-MIN('Scenarios_10'!G13,'Assumptions'!B10)))+'Inputs_Data'!D6,0+('Inputs_Data'!D6*(1-AVERAGE('Assumptions'!B6,'Assumptions'!B7,'Assumptions'!B8,'Assumptions'!B9)))))))&lt;=0,999,ROUNDUP('Inputs_Data'!H5/((MAX(0,'Scenarios_10'!D13-'Scenarios_10'!E13/'Scenarios_10'!B13)-(IF('Scenarios_10'!C13="uniform_pct",'Inputs_Data'!E6*(1-MIN('Scenarios_10'!G13,'Assumptions'!B10)),IF('Scenarios_10'!C13="electricity_only_pct",('Inputs_Data'!C6*(1-MIN('Scenarios_10'!G13,'Assumptions'!B10)))+'Inputs_Data'!D6,0+('Inputs_Data'!D6*(1-AVERAGE('Assumptions'!B6,'Assumptions'!B7,'Assumptions'!B8,'Assumptions'!B9)))))))/12),0))</f>
        <v/>
      </c>
      <c r="I14" s="5">
        <f>AND(MAX(0,'Scenarios_10'!D13-'Scenarios_10'!E13/'Scenarios_10'!B13)&lt;='Inputs_Data'!B6,((MAX(0,'Scenarios_10'!D13-'Scenarios_10'!E13/'Scenarios_10'!B13)-(IF('Scenarios_10'!C13="uniform_pct",'Inputs_Data'!E6*(1-MIN('Scenarios_10'!G13,'Assumptions'!B10)),IF('Scenarios_10'!C13="electricity_only_pct",('Inputs_Data'!C6*(1-MIN('Scenarios_10'!G13,'Assumptions'!B10)))+'Inputs_Data'!D6,0+('Inputs_Data'!D6*(1-AVERAGE('Assumptions'!B6,'Assumptions'!B7,'Assumptions'!B8,'Assumptions'!B9)))))+'Inputs_Data'!F6))-('Inputs_Data'!B6-('Inputs_Data'!E6+'Inputs_Data'!F6)))&gt;=0,IF((MAX(0,'Scenarios_10'!D13-'Scenarios_10'!E13/'Scenarios_10'!B13)-(IF('Scenarios_10'!C13="uniform_pct",'Inputs_Data'!E6*(1-MIN('Scenarios_10'!G13,'Assumptions'!B10)),IF('Scenarios_10'!C13="electricity_only_pct",('Inputs_Data'!C6*(1-MIN('Scenarios_10'!G13,'Assumptions'!B10)))+'Inputs_Data'!D6,0+('Inputs_Data'!D6*(1-AVERAGE('Assumptions'!B6,'Assumptions'!B7,'Assumptions'!B8,'Assumptions'!B9)))))))&lt;=0,999,ROUNDUP('Inputs_Data'!H5/((MAX(0,'Scenarios_10'!D13-'Scenarios_10'!E13/'Scenarios_10'!B13)-(IF('Scenarios_10'!C13="uniform_pct",'Inputs_Data'!E6*(1-MIN('Scenarios_10'!G13,'Assumptions'!B10)),IF('Scenarios_10'!C13="electricity_only_pct",('Inputs_Data'!C6*(1-MIN('Scenarios_10'!G13,'Assumptions'!B10)))+'Inputs_Data'!D6,0+('Inputs_Data'!D6*(1-AVERAGE('Assumptions'!B6,'Assumptions'!B7,'Assumptions'!B8,'Assumptions'!B9)))))))/12),0))&lt;=36)</f>
        <v/>
      </c>
    </row>
    <row r="15">
      <c r="A15" s="5">
        <f>'Scenarios_10'!A14</f>
        <v/>
      </c>
      <c r="B15" s="9">
        <f>MAX(0,'Scenarios_10'!D14-'Scenarios_10'!E14/'Scenarios_10'!B14)</f>
        <v/>
      </c>
      <c r="C15" s="9">
        <f>'Inputs_Data'!B6</f>
        <v/>
      </c>
      <c r="D15" s="9">
        <f>('Inputs_Data'!B6-(MAX(0,'Scenarios_10'!D14-'Scenarios_10'!E14/'Scenarios_10'!B14)))</f>
        <v/>
      </c>
      <c r="E15" s="9">
        <f>IF('Scenarios_10'!C14="uniform_pct",'Inputs_Data'!E6*(1-MIN('Scenarios_10'!G14,'Assumptions'!B10)),IF('Scenarios_10'!C14="electricity_only_pct",('Inputs_Data'!C6*(1-MIN('Scenarios_10'!G14,'Assumptions'!B10)))+'Inputs_Data'!D6,0+('Inputs_Data'!D6*(1-AVERAGE('Assumptions'!B6,'Assumptions'!B7,'Assumptions'!B8,'Assumptions'!B9)))))</f>
        <v/>
      </c>
      <c r="F15" s="9">
        <f>'Inputs_Data'!E6</f>
        <v/>
      </c>
      <c r="G15" s="9">
        <f>((MAX(0,'Scenarios_10'!D14-'Scenarios_10'!E14/'Scenarios_10'!B14)-(IF('Scenarios_10'!C14="uniform_pct",'Inputs_Data'!E6*(1-MIN('Scenarios_10'!G14,'Assumptions'!B10)),IF('Scenarios_10'!C14="electricity_only_pct",('Inputs_Data'!C6*(1-MIN('Scenarios_10'!G14,'Assumptions'!B10)))+'Inputs_Data'!D6,0+('Inputs_Data'!D6*(1-AVERAGE('Assumptions'!B6,'Assumptions'!B7,'Assumptions'!B8,'Assumptions'!B9)))))+'Inputs_Data'!F6))-('Inputs_Data'!B6-('Inputs_Data'!E6+'Inputs_Data'!F6)))</f>
        <v/>
      </c>
      <c r="H15" s="10">
        <f>IF((MAX(0,'Scenarios_10'!D14-'Scenarios_10'!E14/'Scenarios_10'!B14)-(IF('Scenarios_10'!C14="uniform_pct",'Inputs_Data'!E6*(1-MIN('Scenarios_10'!G14,'Assumptions'!B10)),IF('Scenarios_10'!C14="electricity_only_pct",('Inputs_Data'!C6*(1-MIN('Scenarios_10'!G14,'Assumptions'!B10)))+'Inputs_Data'!D6,0+('Inputs_Data'!D6*(1-AVERAGE('Assumptions'!B6,'Assumptions'!B7,'Assumptions'!B8,'Assumptions'!B9)))))))&lt;=0,999,ROUNDUP('Inputs_Data'!H5/((MAX(0,'Scenarios_10'!D14-'Scenarios_10'!E14/'Scenarios_10'!B14)-(IF('Scenarios_10'!C14="uniform_pct",'Inputs_Data'!E6*(1-MIN('Scenarios_10'!G14,'Assumptions'!B10)),IF('Scenarios_10'!C14="electricity_only_pct",('Inputs_Data'!C6*(1-MIN('Scenarios_10'!G14,'Assumptions'!B10)))+'Inputs_Data'!D6,0+('Inputs_Data'!D6*(1-AVERAGE('Assumptions'!B6,'Assumptions'!B7,'Assumptions'!B8,'Assumptions'!B9)))))))/12),0))</f>
        <v/>
      </c>
      <c r="I15" s="5">
        <f>AND(MAX(0,'Scenarios_10'!D14-'Scenarios_10'!E14/'Scenarios_10'!B14)&lt;='Inputs_Data'!B6,((MAX(0,'Scenarios_10'!D14-'Scenarios_10'!E14/'Scenarios_10'!B14)-(IF('Scenarios_10'!C14="uniform_pct",'Inputs_Data'!E6*(1-MIN('Scenarios_10'!G14,'Assumptions'!B10)),IF('Scenarios_10'!C14="electricity_only_pct",('Inputs_Data'!C6*(1-MIN('Scenarios_10'!G14,'Assumptions'!B10)))+'Inputs_Data'!D6,0+('Inputs_Data'!D6*(1-AVERAGE('Assumptions'!B6,'Assumptions'!B7,'Assumptions'!B8,'Assumptions'!B9)))))+'Inputs_Data'!F6))-('Inputs_Data'!B6-('Inputs_Data'!E6+'Inputs_Data'!F6)))&gt;=0,IF((MAX(0,'Scenarios_10'!D14-'Scenarios_10'!E14/'Scenarios_10'!B14)-(IF('Scenarios_10'!C14="uniform_pct",'Inputs_Data'!E6*(1-MIN('Scenarios_10'!G14,'Assumptions'!B10)),IF('Scenarios_10'!C14="electricity_only_pct",('Inputs_Data'!C6*(1-MIN('Scenarios_10'!G14,'Assumptions'!B10)))+'Inputs_Data'!D6,0+('Inputs_Data'!D6*(1-AVERAGE('Assumptions'!B6,'Assumptions'!B7,'Assumptions'!B8,'Assumptions'!B9)))))))&lt;=0,999,ROUNDUP('Inputs_Data'!H5/((MAX(0,'Scenarios_10'!D14-'Scenarios_10'!E14/'Scenarios_10'!B14)-(IF('Scenarios_10'!C14="uniform_pct",'Inputs_Data'!E6*(1-MIN('Scenarios_10'!G14,'Assumptions'!B10)),IF('Scenarios_10'!C14="electricity_only_pct",('Inputs_Data'!C6*(1-MIN('Scenarios_10'!G14,'Assumptions'!B10)))+'Inputs_Data'!D6,0+('Inputs_Data'!D6*(1-AVERAGE('Assumptions'!B6,'Assumptions'!B7,'Assumptions'!B8,'Assumptions'!B9)))))))/12),0))&lt;=36)</f>
        <v/>
      </c>
    </row>
    <row r="18">
      <c r="A18" s="6" t="inlineStr">
        <is>
          <t>Chart: Client payment vs baseline (Year 1)</t>
        </is>
      </c>
    </row>
    <row r="19">
      <c r="A19" s="4" t="inlineStr">
        <is>
          <t>Tier</t>
        </is>
      </c>
      <c r="B19" s="4" t="inlineStr">
        <is>
          <t>ClientPay_Y1</t>
        </is>
      </c>
      <c r="C19" s="4" t="inlineStr">
        <is>
          <t>BaselinePay_Y1</t>
        </is>
      </c>
    </row>
    <row r="20">
      <c r="A20" s="11">
        <f>Model_Calc!A5</f>
        <v/>
      </c>
      <c r="B20" s="12">
        <f>Model_Calc!B5</f>
        <v/>
      </c>
      <c r="C20" s="12">
        <f>Model_Calc!C5</f>
        <v/>
      </c>
    </row>
    <row r="21">
      <c r="A21" s="11">
        <f>Model_Calc!A6</f>
        <v/>
      </c>
      <c r="B21" s="12">
        <f>Model_Calc!B6</f>
        <v/>
      </c>
      <c r="C21" s="12">
        <f>Model_Calc!C6</f>
        <v/>
      </c>
    </row>
    <row r="22">
      <c r="A22" s="11">
        <f>Model_Calc!A7</f>
        <v/>
      </c>
      <c r="B22" s="12">
        <f>Model_Calc!B7</f>
        <v/>
      </c>
      <c r="C22" s="12">
        <f>Model_Calc!C7</f>
        <v/>
      </c>
    </row>
    <row r="23">
      <c r="A23" s="11">
        <f>Model_Calc!A8</f>
        <v/>
      </c>
      <c r="B23" s="12">
        <f>Model_Calc!B8</f>
        <v/>
      </c>
      <c r="C23" s="12">
        <f>Model_Calc!C8</f>
        <v/>
      </c>
    </row>
    <row r="24">
      <c r="A24" s="11">
        <f>Model_Calc!A9</f>
        <v/>
      </c>
      <c r="B24" s="12">
        <f>Model_Calc!B9</f>
        <v/>
      </c>
      <c r="C24" s="12">
        <f>Model_Calc!C9</f>
        <v/>
      </c>
    </row>
    <row r="25">
      <c r="A25" s="11">
        <f>Model_Calc!A10</f>
        <v/>
      </c>
      <c r="B25" s="12">
        <f>Model_Calc!B10</f>
        <v/>
      </c>
      <c r="C25" s="12">
        <f>Model_Calc!C10</f>
        <v/>
      </c>
    </row>
    <row r="26">
      <c r="A26" s="11">
        <f>Model_Calc!A11</f>
        <v/>
      </c>
      <c r="B26" s="12">
        <f>Model_Calc!B11</f>
        <v/>
      </c>
      <c r="C26" s="12">
        <f>Model_Calc!C11</f>
        <v/>
      </c>
    </row>
    <row r="27">
      <c r="A27" s="11">
        <f>Model_Calc!A12</f>
        <v/>
      </c>
      <c r="B27" s="12">
        <f>Model_Calc!B12</f>
        <v/>
      </c>
      <c r="C27" s="12">
        <f>Model_Calc!C12</f>
        <v/>
      </c>
    </row>
    <row r="28">
      <c r="A28" s="11">
        <f>Model_Calc!A13</f>
        <v/>
      </c>
      <c r="B28" s="12">
        <f>Model_Calc!B13</f>
        <v/>
      </c>
      <c r="C28" s="12">
        <f>Model_Calc!C13</f>
        <v/>
      </c>
    </row>
    <row r="29">
      <c r="A29" s="11">
        <f>Model_Calc!A14</f>
        <v/>
      </c>
      <c r="B29" s="12">
        <f>Model_Calc!B14</f>
        <v/>
      </c>
      <c r="C29" s="12">
        <f>Model_Calc!C14</f>
        <v/>
      </c>
    </row>
  </sheetData>
  <mergeCells count="4">
    <mergeCell ref="A2:L2"/>
    <mergeCell ref="A1:L1"/>
    <mergeCell ref="A4:L4"/>
    <mergeCell ref="A18:L18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8" customWidth="1" min="12" max="12"/>
  </cols>
  <sheetData>
    <row r="1">
      <c r="A1" s="1" t="inlineStr">
        <is>
          <t>Scenario cashflow tables (all formulas)</t>
        </is>
      </c>
    </row>
    <row r="2">
      <c r="A2" s="2" t="inlineStr">
        <is>
          <t>Baseline vs LaaS year-by-year cashflow; same structure for all 10 tiers.</t>
        </is>
      </c>
    </row>
    <row r="5">
      <c r="A5" s="6" t="inlineStr">
        <is>
          <t>Tier: ='Scenarios_10'!A5</t>
        </is>
      </c>
    </row>
    <row r="6">
      <c r="A6" s="4" t="inlineStr">
        <is>
          <t>year</t>
        </is>
      </c>
      <c r="B6" s="4" t="inlineStr">
        <is>
          <t>trust_capex</t>
        </is>
      </c>
      <c r="C6" s="4" t="inlineStr">
        <is>
          <t>trust_fee</t>
        </is>
      </c>
      <c r="D6" s="4" t="inlineStr">
        <is>
          <t>trust_cash_opex</t>
        </is>
      </c>
      <c r="E6" s="4" t="inlineStr">
        <is>
          <t>trust_net_cf</t>
        </is>
      </c>
      <c r="F6" s="4" t="inlineStr">
        <is>
          <t>trust_cum_cf</t>
        </is>
      </c>
      <c r="G6" s="4" t="inlineStr">
        <is>
          <t>laas_capex</t>
        </is>
      </c>
      <c r="H6" s="4" t="inlineStr">
        <is>
          <t>laas_fee</t>
        </is>
      </c>
      <c r="I6" s="4" t="inlineStr">
        <is>
          <t>laas_upfront</t>
        </is>
      </c>
      <c r="J6" s="4" t="inlineStr">
        <is>
          <t>laas_cash_opex</t>
        </is>
      </c>
      <c r="K6" s="4" t="inlineStr">
        <is>
          <t>laas_net_cf</t>
        </is>
      </c>
      <c r="L6" s="4" t="inlineStr">
        <is>
          <t>laas_cum_cf</t>
        </is>
      </c>
    </row>
    <row r="7">
      <c r="A7" s="5" t="n">
        <v>0</v>
      </c>
      <c r="B7" s="9">
        <f>IF(0=0,-'Inputs_Data'!H5,0)</f>
        <v/>
      </c>
      <c r="C7" s="9">
        <f>IF(0=0,0,'Inputs_Data'!B5)</f>
        <v/>
      </c>
      <c r="D7" s="9">
        <f>IF(0=0,0,'Inputs_Data'!E5)</f>
        <v/>
      </c>
      <c r="E7" s="9">
        <f>(IF(0=0,-'Inputs_Data'!H5,0))+(IF(0=0,0,'Inputs_Data'!B5))-(IF(0=0,0,'Inputs_Data'!E5))</f>
        <v/>
      </c>
      <c r="F7" s="9">
        <f>(0)+(E7)</f>
        <v/>
      </c>
      <c r="G7" s="9">
        <f>IF(0=0,-'Inputs_Data'!H5,0)</f>
        <v/>
      </c>
      <c r="H7" s="9">
        <f>IF(AND(0&gt;=1,0&lt;='Scenarios_10'!B5),MAX(0,(MAX(0,'Scenarios_10'!D5-'Scenarios_10'!E5/'Scenarios_10'!B5))-IF(AND(0&gt;('Scenarios_10'!B5-4),0&lt;='Scenarios_10'!B5),'Scenarios_10'!F5,0)),0)</f>
        <v/>
      </c>
      <c r="I7" s="9">
        <f>IF(0=0,'Scenarios_10'!E5,0)</f>
        <v/>
      </c>
      <c r="J7" s="9">
        <f>IF(0=0,0,IF('Scenarios_10'!C5="uniform_pct",'Inputs_Data'!E5*(1-(MIN('Scenarios_10'!G5,'Assumptions'!B10))),IF('Scenarios_10'!C5="electricity_only_pct",('Inputs_Data'!C5*(1-(MIN('Scenarios_10'!G5,'Assumptions'!B10))))+'Inputs_Data'!D5,0+('Inputs_Data'!D5*(1-AVERAGE('Assumptions'!B6,'Assumptions'!B7,'Assumptions'!B8,'Assumptions'!B9))))))</f>
        <v/>
      </c>
      <c r="K7" s="9">
        <f>(IF(0=0,-'Inputs_Data'!H5,0))+(IF(AND(0&gt;=1,0&lt;='Scenarios_10'!B5),MAX(0,(MAX(0,'Scenarios_10'!D5-'Scenarios_10'!E5/'Scenarios_10'!B5))-IF(AND(0&gt;('Scenarios_10'!B5-4),0&lt;='Scenarios_10'!B5),'Scenarios_10'!F5,0)),0))+(IF(0=0,'Scenarios_10'!E5,0))-(IF(0=0,0,IF('Scenarios_10'!C5="uniform_pct",'Inputs_Data'!E5*(1-(MIN('Scenarios_10'!G5,'Assumptions'!B10))),IF('Scenarios_10'!C5="electricity_only_pct",('Inputs_Data'!C5*(1-(MIN('Scenarios_10'!G5,'Assumptions'!B10))))+'Inputs_Data'!D5,0+('Inputs_Data'!D5*(1-AVERAGE('Assumptions'!B6,'Assumptions'!B7,'Assumptions'!B8,'Assumptions'!B9)))))))</f>
        <v/>
      </c>
      <c r="L7" s="9">
        <f>(0)+(K7)</f>
        <v/>
      </c>
    </row>
    <row r="8">
      <c r="A8" s="5" t="n">
        <v>1</v>
      </c>
      <c r="B8" s="9">
        <f>IF(1=0,-'Inputs_Data'!H5,0)</f>
        <v/>
      </c>
      <c r="C8" s="9">
        <f>IF(1=0,0,'Inputs_Data'!B6)</f>
        <v/>
      </c>
      <c r="D8" s="9">
        <f>IF(1=0,0,'Inputs_Data'!E6)</f>
        <v/>
      </c>
      <c r="E8" s="9">
        <f>(IF(1=0,-'Inputs_Data'!H5,0))+(IF(1=0,0,'Inputs_Data'!B6))-(IF(1=0,0,'Inputs_Data'!E6))</f>
        <v/>
      </c>
      <c r="F8" s="9">
        <f>(F7)+(E8)</f>
        <v/>
      </c>
      <c r="G8" s="9">
        <f>IF(1=0,-'Inputs_Data'!H5,0)</f>
        <v/>
      </c>
      <c r="H8" s="9">
        <f>IF(AND(1&gt;=1,1&lt;='Scenarios_10'!B5),MAX(0,(MAX(0,'Scenarios_10'!D5-'Scenarios_10'!E5/'Scenarios_10'!B5))-IF(AND(1&gt;('Scenarios_10'!B5-4),1&lt;='Scenarios_10'!B5),'Scenarios_10'!F5,0)),0)</f>
        <v/>
      </c>
      <c r="I8" s="9">
        <f>IF(1=0,'Scenarios_10'!E5,0)</f>
        <v/>
      </c>
      <c r="J8" s="9">
        <f>IF(1=0,0,IF('Scenarios_10'!C5="uniform_pct",'Inputs_Data'!E6*(1-(MIN('Scenarios_10'!G5,'Assumptions'!B10))),IF('Scenarios_10'!C5="electricity_only_pct",('Inputs_Data'!C6*(1-(MIN('Scenarios_10'!G5,'Assumptions'!B10))))+'Inputs_Data'!D6,0+('Inputs_Data'!D6*(1-AVERAGE('Assumptions'!B6,'Assumptions'!B7,'Assumptions'!B8,'Assumptions'!B9))))))</f>
        <v/>
      </c>
      <c r="K8" s="9">
        <f>(IF(1=0,-'Inputs_Data'!H5,0))+(IF(AND(1&gt;=1,1&lt;='Scenarios_10'!B5),MAX(0,(MAX(0,'Scenarios_10'!D5-'Scenarios_10'!E5/'Scenarios_10'!B5))-IF(AND(1&gt;('Scenarios_10'!B5-4),1&lt;='Scenarios_10'!B5),'Scenarios_10'!F5,0)),0))+(IF(1=0,'Scenarios_10'!E5,0))-(IF(1=0,0,IF('Scenarios_10'!C5="uniform_pct",'Inputs_Data'!E6*(1-(MIN('Scenarios_10'!G5,'Assumptions'!B10))),IF('Scenarios_10'!C5="electricity_only_pct",('Inputs_Data'!C6*(1-(MIN('Scenarios_10'!G5,'Assumptions'!B10))))+'Inputs_Data'!D6,0+('Inputs_Data'!D6*(1-AVERAGE('Assumptions'!B6,'Assumptions'!B7,'Assumptions'!B8,'Assumptions'!B9)))))))</f>
        <v/>
      </c>
      <c r="L8" s="9">
        <f>(L7)+(K8)</f>
        <v/>
      </c>
    </row>
    <row r="9">
      <c r="A9" s="5" t="n">
        <v>2</v>
      </c>
      <c r="B9" s="9">
        <f>IF(2=0,-'Inputs_Data'!H5,0)</f>
        <v/>
      </c>
      <c r="C9" s="9">
        <f>IF(2=0,0,'Inputs_Data'!B7)</f>
        <v/>
      </c>
      <c r="D9" s="9">
        <f>IF(2=0,0,'Inputs_Data'!E7)</f>
        <v/>
      </c>
      <c r="E9" s="9">
        <f>(IF(2=0,-'Inputs_Data'!H5,0))+(IF(2=0,0,'Inputs_Data'!B7))-(IF(2=0,0,'Inputs_Data'!E7))</f>
        <v/>
      </c>
      <c r="F9" s="9">
        <f>(F8)+(E9)</f>
        <v/>
      </c>
      <c r="G9" s="9">
        <f>IF(2=0,-'Inputs_Data'!H5,0)</f>
        <v/>
      </c>
      <c r="H9" s="9">
        <f>IF(AND(2&gt;=1,2&lt;='Scenarios_10'!B5),MAX(0,(MAX(0,'Scenarios_10'!D5-'Scenarios_10'!E5/'Scenarios_10'!B5))-IF(AND(2&gt;('Scenarios_10'!B5-4),2&lt;='Scenarios_10'!B5),'Scenarios_10'!F5,0)),0)</f>
        <v/>
      </c>
      <c r="I9" s="9">
        <f>IF(2=0,'Scenarios_10'!E5,0)</f>
        <v/>
      </c>
      <c r="J9" s="9">
        <f>IF(2=0,0,IF('Scenarios_10'!C5="uniform_pct",'Inputs_Data'!E7*(1-(MIN('Scenarios_10'!G5,'Assumptions'!B10))),IF('Scenarios_10'!C5="electricity_only_pct",('Inputs_Data'!C7*(1-(MIN('Scenarios_10'!G5,'Assumptions'!B10))))+'Inputs_Data'!D7,0+('Inputs_Data'!D7*(1-AVERAGE('Assumptions'!B6,'Assumptions'!B7,'Assumptions'!B8,'Assumptions'!B9))))))</f>
        <v/>
      </c>
      <c r="K9" s="9">
        <f>(IF(2=0,-'Inputs_Data'!H5,0))+(IF(AND(2&gt;=1,2&lt;='Scenarios_10'!B5),MAX(0,(MAX(0,'Scenarios_10'!D5-'Scenarios_10'!E5/'Scenarios_10'!B5))-IF(AND(2&gt;('Scenarios_10'!B5-4),2&lt;='Scenarios_10'!B5),'Scenarios_10'!F5,0)),0))+(IF(2=0,'Scenarios_10'!E5,0))-(IF(2=0,0,IF('Scenarios_10'!C5="uniform_pct",'Inputs_Data'!E7*(1-(MIN('Scenarios_10'!G5,'Assumptions'!B10))),IF('Scenarios_10'!C5="electricity_only_pct",('Inputs_Data'!C7*(1-(MIN('Scenarios_10'!G5,'Assumptions'!B10))))+'Inputs_Data'!D7,0+('Inputs_Data'!D7*(1-AVERAGE('Assumptions'!B6,'Assumptions'!B7,'Assumptions'!B8,'Assumptions'!B9)))))))</f>
        <v/>
      </c>
      <c r="L9" s="9">
        <f>(L8)+(K9)</f>
        <v/>
      </c>
    </row>
    <row r="10">
      <c r="A10" s="5" t="n">
        <v>3</v>
      </c>
      <c r="B10" s="9">
        <f>IF(3=0,-'Inputs_Data'!H5,0)</f>
        <v/>
      </c>
      <c r="C10" s="9">
        <f>IF(3=0,0,'Inputs_Data'!B8)</f>
        <v/>
      </c>
      <c r="D10" s="9">
        <f>IF(3=0,0,'Inputs_Data'!E8)</f>
        <v/>
      </c>
      <c r="E10" s="9">
        <f>(IF(3=0,-'Inputs_Data'!H5,0))+(IF(3=0,0,'Inputs_Data'!B8))-(IF(3=0,0,'Inputs_Data'!E8))</f>
        <v/>
      </c>
      <c r="F10" s="9">
        <f>(F9)+(E10)</f>
        <v/>
      </c>
      <c r="G10" s="9">
        <f>IF(3=0,-'Inputs_Data'!H5,0)</f>
        <v/>
      </c>
      <c r="H10" s="9">
        <f>IF(AND(3&gt;=1,3&lt;='Scenarios_10'!B5),MAX(0,(MAX(0,'Scenarios_10'!D5-'Scenarios_10'!E5/'Scenarios_10'!B5))-IF(AND(3&gt;('Scenarios_10'!B5-4),3&lt;='Scenarios_10'!B5),'Scenarios_10'!F5,0)),0)</f>
        <v/>
      </c>
      <c r="I10" s="9">
        <f>IF(3=0,'Scenarios_10'!E5,0)</f>
        <v/>
      </c>
      <c r="J10" s="9">
        <f>IF(3=0,0,IF('Scenarios_10'!C5="uniform_pct",'Inputs_Data'!E8*(1-(MIN('Scenarios_10'!G5,'Assumptions'!B10))),IF('Scenarios_10'!C5="electricity_only_pct",('Inputs_Data'!C8*(1-(MIN('Scenarios_10'!G5,'Assumptions'!B10))))+'Inputs_Data'!D8,0+('Inputs_Data'!D8*(1-AVERAGE('Assumptions'!B6,'Assumptions'!B7,'Assumptions'!B8,'Assumptions'!B9))))))</f>
        <v/>
      </c>
      <c r="K10" s="9">
        <f>(IF(3=0,-'Inputs_Data'!H5,0))+(IF(AND(3&gt;=1,3&lt;='Scenarios_10'!B5),MAX(0,(MAX(0,'Scenarios_10'!D5-'Scenarios_10'!E5/'Scenarios_10'!B5))-IF(AND(3&gt;('Scenarios_10'!B5-4),3&lt;='Scenarios_10'!B5),'Scenarios_10'!F5,0)),0))+(IF(3=0,'Scenarios_10'!E5,0))-(IF(3=0,0,IF('Scenarios_10'!C5="uniform_pct",'Inputs_Data'!E8*(1-(MIN('Scenarios_10'!G5,'Assumptions'!B10))),IF('Scenarios_10'!C5="electricity_only_pct",('Inputs_Data'!C8*(1-(MIN('Scenarios_10'!G5,'Assumptions'!B10))))+'Inputs_Data'!D8,0+('Inputs_Data'!D8*(1-AVERAGE('Assumptions'!B6,'Assumptions'!B7,'Assumptions'!B8,'Assumptions'!B9)))))))</f>
        <v/>
      </c>
      <c r="L10" s="9">
        <f>(L9)+(K10)</f>
        <v/>
      </c>
    </row>
    <row r="11">
      <c r="A11" s="5" t="n">
        <v>4</v>
      </c>
      <c r="B11" s="9">
        <f>IF(4=0,-'Inputs_Data'!H5,0)</f>
        <v/>
      </c>
      <c r="C11" s="9">
        <f>IF(4=0,0,'Inputs_Data'!B9)</f>
        <v/>
      </c>
      <c r="D11" s="9">
        <f>IF(4=0,0,'Inputs_Data'!E9)</f>
        <v/>
      </c>
      <c r="E11" s="9">
        <f>(IF(4=0,-'Inputs_Data'!H5,0))+(IF(4=0,0,'Inputs_Data'!B9))-(IF(4=0,0,'Inputs_Data'!E9))</f>
        <v/>
      </c>
      <c r="F11" s="9">
        <f>(F10)+(E11)</f>
        <v/>
      </c>
      <c r="G11" s="9">
        <f>IF(4=0,-'Inputs_Data'!H5,0)</f>
        <v/>
      </c>
      <c r="H11" s="9">
        <f>IF(AND(4&gt;=1,4&lt;='Scenarios_10'!B5),MAX(0,(MAX(0,'Scenarios_10'!D5-'Scenarios_10'!E5/'Scenarios_10'!B5))-IF(AND(4&gt;('Scenarios_10'!B5-4),4&lt;='Scenarios_10'!B5),'Scenarios_10'!F5,0)),0)</f>
        <v/>
      </c>
      <c r="I11" s="9">
        <f>IF(4=0,'Scenarios_10'!E5,0)</f>
        <v/>
      </c>
      <c r="J11" s="9">
        <f>IF(4=0,0,IF('Scenarios_10'!C5="uniform_pct",'Inputs_Data'!E9*(1-(MIN('Scenarios_10'!G5,'Assumptions'!B10))),IF('Scenarios_10'!C5="electricity_only_pct",('Inputs_Data'!C9*(1-(MIN('Scenarios_10'!G5,'Assumptions'!B10))))+'Inputs_Data'!D9,0+('Inputs_Data'!D9*(1-AVERAGE('Assumptions'!B6,'Assumptions'!B7,'Assumptions'!B8,'Assumptions'!B9))))))</f>
        <v/>
      </c>
      <c r="K11" s="9">
        <f>(IF(4=0,-'Inputs_Data'!H5,0))+(IF(AND(4&gt;=1,4&lt;='Scenarios_10'!B5),MAX(0,(MAX(0,'Scenarios_10'!D5-'Scenarios_10'!E5/'Scenarios_10'!B5))-IF(AND(4&gt;('Scenarios_10'!B5-4),4&lt;='Scenarios_10'!B5),'Scenarios_10'!F5,0)),0))+(IF(4=0,'Scenarios_10'!E5,0))-(IF(4=0,0,IF('Scenarios_10'!C5="uniform_pct",'Inputs_Data'!E9*(1-(MIN('Scenarios_10'!G5,'Assumptions'!B10))),IF('Scenarios_10'!C5="electricity_only_pct",('Inputs_Data'!C9*(1-(MIN('Scenarios_10'!G5,'Assumptions'!B10))))+'Inputs_Data'!D9,0+('Inputs_Data'!D9*(1-AVERAGE('Assumptions'!B6,'Assumptions'!B7,'Assumptions'!B8,'Assumptions'!B9)))))))</f>
        <v/>
      </c>
      <c r="L11" s="9">
        <f>(L10)+(K11)</f>
        <v/>
      </c>
    </row>
    <row r="12">
      <c r="A12" s="5" t="n">
        <v>5</v>
      </c>
      <c r="B12" s="9">
        <f>IF(5=0,-'Inputs_Data'!H5,0)</f>
        <v/>
      </c>
      <c r="C12" s="9">
        <f>IF(5=0,0,'Inputs_Data'!B10)</f>
        <v/>
      </c>
      <c r="D12" s="9">
        <f>IF(5=0,0,'Inputs_Data'!E10)</f>
        <v/>
      </c>
      <c r="E12" s="9">
        <f>(IF(5=0,-'Inputs_Data'!H5,0))+(IF(5=0,0,'Inputs_Data'!B10))-(IF(5=0,0,'Inputs_Data'!E10))</f>
        <v/>
      </c>
      <c r="F12" s="9">
        <f>(F11)+(E12)</f>
        <v/>
      </c>
      <c r="G12" s="9">
        <f>IF(5=0,-'Inputs_Data'!H5,0)</f>
        <v/>
      </c>
      <c r="H12" s="9">
        <f>IF(AND(5&gt;=1,5&lt;='Scenarios_10'!B5),MAX(0,(MAX(0,'Scenarios_10'!D5-'Scenarios_10'!E5/'Scenarios_10'!B5))-IF(AND(5&gt;('Scenarios_10'!B5-4),5&lt;='Scenarios_10'!B5),'Scenarios_10'!F5,0)),0)</f>
        <v/>
      </c>
      <c r="I12" s="9">
        <f>IF(5=0,'Scenarios_10'!E5,0)</f>
        <v/>
      </c>
      <c r="J12" s="9">
        <f>IF(5=0,0,IF('Scenarios_10'!C5="uniform_pct",'Inputs_Data'!E10*(1-(MIN('Scenarios_10'!G5,'Assumptions'!B10))),IF('Scenarios_10'!C5="electricity_only_pct",('Inputs_Data'!C10*(1-(MIN('Scenarios_10'!G5,'Assumptions'!B10))))+'Inputs_Data'!D10,0+('Inputs_Data'!D10*(1-AVERAGE('Assumptions'!B6,'Assumptions'!B7,'Assumptions'!B8,'Assumptions'!B9))))))</f>
        <v/>
      </c>
      <c r="K12" s="9">
        <f>(IF(5=0,-'Inputs_Data'!H5,0))+(IF(AND(5&gt;=1,5&lt;='Scenarios_10'!B5),MAX(0,(MAX(0,'Scenarios_10'!D5-'Scenarios_10'!E5/'Scenarios_10'!B5))-IF(AND(5&gt;('Scenarios_10'!B5-4),5&lt;='Scenarios_10'!B5),'Scenarios_10'!F5,0)),0))+(IF(5=0,'Scenarios_10'!E5,0))-(IF(5=0,0,IF('Scenarios_10'!C5="uniform_pct",'Inputs_Data'!E10*(1-(MIN('Scenarios_10'!G5,'Assumptions'!B10))),IF('Scenarios_10'!C5="electricity_only_pct",('Inputs_Data'!C10*(1-(MIN('Scenarios_10'!G5,'Assumptions'!B10))))+'Inputs_Data'!D10,0+('Inputs_Data'!D10*(1-AVERAGE('Assumptions'!B6,'Assumptions'!B7,'Assumptions'!B8,'Assumptions'!B9)))))))</f>
        <v/>
      </c>
      <c r="L12" s="9">
        <f>(L11)+(K12)</f>
        <v/>
      </c>
    </row>
    <row r="13">
      <c r="A13" s="5" t="n">
        <v>6</v>
      </c>
      <c r="B13" s="9">
        <f>IF(6=0,-'Inputs_Data'!H5,0)</f>
        <v/>
      </c>
      <c r="C13" s="9">
        <f>IF(6=0,0,'Inputs_Data'!B11)</f>
        <v/>
      </c>
      <c r="D13" s="9">
        <f>IF(6=0,0,'Inputs_Data'!E11)</f>
        <v/>
      </c>
      <c r="E13" s="9">
        <f>(IF(6=0,-'Inputs_Data'!H5,0))+(IF(6=0,0,'Inputs_Data'!B11))-(IF(6=0,0,'Inputs_Data'!E11))</f>
        <v/>
      </c>
      <c r="F13" s="9">
        <f>(F12)+(E13)</f>
        <v/>
      </c>
      <c r="G13" s="9">
        <f>IF(6=0,-'Inputs_Data'!H5,0)</f>
        <v/>
      </c>
      <c r="H13" s="9">
        <f>IF(AND(6&gt;=1,6&lt;='Scenarios_10'!B5),MAX(0,(MAX(0,'Scenarios_10'!D5-'Scenarios_10'!E5/'Scenarios_10'!B5))-IF(AND(6&gt;('Scenarios_10'!B5-4),6&lt;='Scenarios_10'!B5),'Scenarios_10'!F5,0)),0)</f>
        <v/>
      </c>
      <c r="I13" s="9">
        <f>IF(6=0,'Scenarios_10'!E5,0)</f>
        <v/>
      </c>
      <c r="J13" s="9">
        <f>IF(6=0,0,IF('Scenarios_10'!C5="uniform_pct",'Inputs_Data'!E11*(1-(MIN('Scenarios_10'!G5,'Assumptions'!B10))),IF('Scenarios_10'!C5="electricity_only_pct",('Inputs_Data'!C11*(1-(MIN('Scenarios_10'!G5,'Assumptions'!B10))))+'Inputs_Data'!D11,0+('Inputs_Data'!D11*(1-AVERAGE('Assumptions'!B6,'Assumptions'!B7,'Assumptions'!B8,'Assumptions'!B9))))))</f>
        <v/>
      </c>
      <c r="K13" s="9">
        <f>(IF(6=0,-'Inputs_Data'!H5,0))+(IF(AND(6&gt;=1,6&lt;='Scenarios_10'!B5),MAX(0,(MAX(0,'Scenarios_10'!D5-'Scenarios_10'!E5/'Scenarios_10'!B5))-IF(AND(6&gt;('Scenarios_10'!B5-4),6&lt;='Scenarios_10'!B5),'Scenarios_10'!F5,0)),0))+(IF(6=0,'Scenarios_10'!E5,0))-(IF(6=0,0,IF('Scenarios_10'!C5="uniform_pct",'Inputs_Data'!E11*(1-(MIN('Scenarios_10'!G5,'Assumptions'!B10))),IF('Scenarios_10'!C5="electricity_only_pct",('Inputs_Data'!C11*(1-(MIN('Scenarios_10'!G5,'Assumptions'!B10))))+'Inputs_Data'!D11,0+('Inputs_Data'!D11*(1-AVERAGE('Assumptions'!B6,'Assumptions'!B7,'Assumptions'!B8,'Assumptions'!B9)))))))</f>
        <v/>
      </c>
      <c r="L13" s="9">
        <f>(L12)+(K13)</f>
        <v/>
      </c>
    </row>
    <row r="14">
      <c r="A14" s="5" t="n">
        <v>7</v>
      </c>
      <c r="B14" s="9">
        <f>IF(7=0,-'Inputs_Data'!H5,0)</f>
        <v/>
      </c>
      <c r="C14" s="9">
        <f>IF(7=0,0,'Inputs_Data'!B12)</f>
        <v/>
      </c>
      <c r="D14" s="9">
        <f>IF(7=0,0,'Inputs_Data'!E12)</f>
        <v/>
      </c>
      <c r="E14" s="9">
        <f>(IF(7=0,-'Inputs_Data'!H5,0))+(IF(7=0,0,'Inputs_Data'!B12))-(IF(7=0,0,'Inputs_Data'!E12))</f>
        <v/>
      </c>
      <c r="F14" s="9">
        <f>(F13)+(E14)</f>
        <v/>
      </c>
      <c r="G14" s="9">
        <f>IF(7=0,-'Inputs_Data'!H5,0)</f>
        <v/>
      </c>
      <c r="H14" s="9">
        <f>IF(AND(7&gt;=1,7&lt;='Scenarios_10'!B5),MAX(0,(MAX(0,'Scenarios_10'!D5-'Scenarios_10'!E5/'Scenarios_10'!B5))-IF(AND(7&gt;('Scenarios_10'!B5-4),7&lt;='Scenarios_10'!B5),'Scenarios_10'!F5,0)),0)</f>
        <v/>
      </c>
      <c r="I14" s="9">
        <f>IF(7=0,'Scenarios_10'!E5,0)</f>
        <v/>
      </c>
      <c r="J14" s="9">
        <f>IF(7=0,0,IF('Scenarios_10'!C5="uniform_pct",'Inputs_Data'!E12*(1-(MIN('Scenarios_10'!G5,'Assumptions'!B10))),IF('Scenarios_10'!C5="electricity_only_pct",('Inputs_Data'!C12*(1-(MIN('Scenarios_10'!G5,'Assumptions'!B10))))+'Inputs_Data'!D12,0+('Inputs_Data'!D12*(1-AVERAGE('Assumptions'!B6,'Assumptions'!B7,'Assumptions'!B8,'Assumptions'!B9))))))</f>
        <v/>
      </c>
      <c r="K14" s="9">
        <f>(IF(7=0,-'Inputs_Data'!H5,0))+(IF(AND(7&gt;=1,7&lt;='Scenarios_10'!B5),MAX(0,(MAX(0,'Scenarios_10'!D5-'Scenarios_10'!E5/'Scenarios_10'!B5))-IF(AND(7&gt;('Scenarios_10'!B5-4),7&lt;='Scenarios_10'!B5),'Scenarios_10'!F5,0)),0))+(IF(7=0,'Scenarios_10'!E5,0))-(IF(7=0,0,IF('Scenarios_10'!C5="uniform_pct",'Inputs_Data'!E12*(1-(MIN('Scenarios_10'!G5,'Assumptions'!B10))),IF('Scenarios_10'!C5="electricity_only_pct",('Inputs_Data'!C12*(1-(MIN('Scenarios_10'!G5,'Assumptions'!B10))))+'Inputs_Data'!D12,0+('Inputs_Data'!D12*(1-AVERAGE('Assumptions'!B6,'Assumptions'!B7,'Assumptions'!B8,'Assumptions'!B9)))))))</f>
        <v/>
      </c>
      <c r="L14" s="9">
        <f>(L13)+(K14)</f>
        <v/>
      </c>
    </row>
    <row r="15">
      <c r="A15" s="5" t="n">
        <v>8</v>
      </c>
      <c r="B15" s="9">
        <f>IF(8=0,-'Inputs_Data'!H5,0)</f>
        <v/>
      </c>
      <c r="C15" s="9">
        <f>IF(8=0,0,'Inputs_Data'!B13)</f>
        <v/>
      </c>
      <c r="D15" s="9">
        <f>IF(8=0,0,'Inputs_Data'!E13)</f>
        <v/>
      </c>
      <c r="E15" s="9">
        <f>(IF(8=0,-'Inputs_Data'!H5,0))+(IF(8=0,0,'Inputs_Data'!B13))-(IF(8=0,0,'Inputs_Data'!E13))</f>
        <v/>
      </c>
      <c r="F15" s="9">
        <f>(F14)+(E15)</f>
        <v/>
      </c>
      <c r="G15" s="9">
        <f>IF(8=0,-'Inputs_Data'!H5,0)</f>
        <v/>
      </c>
      <c r="H15" s="9">
        <f>IF(AND(8&gt;=1,8&lt;='Scenarios_10'!B5),MAX(0,(MAX(0,'Scenarios_10'!D5-'Scenarios_10'!E5/'Scenarios_10'!B5))-IF(AND(8&gt;('Scenarios_10'!B5-4),8&lt;='Scenarios_10'!B5),'Scenarios_10'!F5,0)),0)</f>
        <v/>
      </c>
      <c r="I15" s="9">
        <f>IF(8=0,'Scenarios_10'!E5,0)</f>
        <v/>
      </c>
      <c r="J15" s="9">
        <f>IF(8=0,0,IF('Scenarios_10'!C5="uniform_pct",'Inputs_Data'!E13*(1-(MIN('Scenarios_10'!G5,'Assumptions'!B10))),IF('Scenarios_10'!C5="electricity_only_pct",('Inputs_Data'!C13*(1-(MIN('Scenarios_10'!G5,'Assumptions'!B10))))+'Inputs_Data'!D13,0+('Inputs_Data'!D13*(1-AVERAGE('Assumptions'!B6,'Assumptions'!B7,'Assumptions'!B8,'Assumptions'!B9))))))</f>
        <v/>
      </c>
      <c r="K15" s="9">
        <f>(IF(8=0,-'Inputs_Data'!H5,0))+(IF(AND(8&gt;=1,8&lt;='Scenarios_10'!B5),MAX(0,(MAX(0,'Scenarios_10'!D5-'Scenarios_10'!E5/'Scenarios_10'!B5))-IF(AND(8&gt;('Scenarios_10'!B5-4),8&lt;='Scenarios_10'!B5),'Scenarios_10'!F5,0)),0))+(IF(8=0,'Scenarios_10'!E5,0))-(IF(8=0,0,IF('Scenarios_10'!C5="uniform_pct",'Inputs_Data'!E13*(1-(MIN('Scenarios_10'!G5,'Assumptions'!B10))),IF('Scenarios_10'!C5="electricity_only_pct",('Inputs_Data'!C13*(1-(MIN('Scenarios_10'!G5,'Assumptions'!B10))))+'Inputs_Data'!D13,0+('Inputs_Data'!D13*(1-AVERAGE('Assumptions'!B6,'Assumptions'!B7,'Assumptions'!B8,'Assumptions'!B9)))))))</f>
        <v/>
      </c>
      <c r="L15" s="9">
        <f>(L14)+(K15)</f>
        <v/>
      </c>
    </row>
    <row r="16">
      <c r="A16" s="5" t="n">
        <v>9</v>
      </c>
      <c r="B16" s="9">
        <f>IF(9=0,-'Inputs_Data'!H5,0)</f>
        <v/>
      </c>
      <c r="C16" s="9">
        <f>IF(9=0,0,'Inputs_Data'!B14)</f>
        <v/>
      </c>
      <c r="D16" s="9">
        <f>IF(9=0,0,'Inputs_Data'!E14)</f>
        <v/>
      </c>
      <c r="E16" s="9">
        <f>(IF(9=0,-'Inputs_Data'!H5,0))+(IF(9=0,0,'Inputs_Data'!B14))-(IF(9=0,0,'Inputs_Data'!E14))</f>
        <v/>
      </c>
      <c r="F16" s="9">
        <f>(F15)+(E16)</f>
        <v/>
      </c>
      <c r="G16" s="9">
        <f>IF(9=0,-'Inputs_Data'!H5,0)</f>
        <v/>
      </c>
      <c r="H16" s="9">
        <f>IF(AND(9&gt;=1,9&lt;='Scenarios_10'!B5),MAX(0,(MAX(0,'Scenarios_10'!D5-'Scenarios_10'!E5/'Scenarios_10'!B5))-IF(AND(9&gt;('Scenarios_10'!B5-4),9&lt;='Scenarios_10'!B5),'Scenarios_10'!F5,0)),0)</f>
        <v/>
      </c>
      <c r="I16" s="9">
        <f>IF(9=0,'Scenarios_10'!E5,0)</f>
        <v/>
      </c>
      <c r="J16" s="9">
        <f>IF(9=0,0,IF('Scenarios_10'!C5="uniform_pct",'Inputs_Data'!E14*(1-(MIN('Scenarios_10'!G5,'Assumptions'!B10))),IF('Scenarios_10'!C5="electricity_only_pct",('Inputs_Data'!C14*(1-(MIN('Scenarios_10'!G5,'Assumptions'!B10))))+'Inputs_Data'!D14,0+('Inputs_Data'!D14*(1-AVERAGE('Assumptions'!B6,'Assumptions'!B7,'Assumptions'!B8,'Assumptions'!B9))))))</f>
        <v/>
      </c>
      <c r="K16" s="9">
        <f>(IF(9=0,-'Inputs_Data'!H5,0))+(IF(AND(9&gt;=1,9&lt;='Scenarios_10'!B5),MAX(0,(MAX(0,'Scenarios_10'!D5-'Scenarios_10'!E5/'Scenarios_10'!B5))-IF(AND(9&gt;('Scenarios_10'!B5-4),9&lt;='Scenarios_10'!B5),'Scenarios_10'!F5,0)),0))+(IF(9=0,'Scenarios_10'!E5,0))-(IF(9=0,0,IF('Scenarios_10'!C5="uniform_pct",'Inputs_Data'!E14*(1-(MIN('Scenarios_10'!G5,'Assumptions'!B10))),IF('Scenarios_10'!C5="electricity_only_pct",('Inputs_Data'!C14*(1-(MIN('Scenarios_10'!G5,'Assumptions'!B10))))+'Inputs_Data'!D14,0+('Inputs_Data'!D14*(1-AVERAGE('Assumptions'!B6,'Assumptions'!B7,'Assumptions'!B8,'Assumptions'!B9)))))))</f>
        <v/>
      </c>
      <c r="L16" s="9">
        <f>(L15)+(K16)</f>
        <v/>
      </c>
    </row>
    <row r="17">
      <c r="A17" s="5" t="n">
        <v>10</v>
      </c>
      <c r="B17" s="9">
        <f>IF(10=0,-'Inputs_Data'!H5,0)</f>
        <v/>
      </c>
      <c r="C17" s="9">
        <f>IF(10=0,0,'Inputs_Data'!B15)</f>
        <v/>
      </c>
      <c r="D17" s="9">
        <f>IF(10=0,0,'Inputs_Data'!E15)</f>
        <v/>
      </c>
      <c r="E17" s="9">
        <f>(IF(10=0,-'Inputs_Data'!H5,0))+(IF(10=0,0,'Inputs_Data'!B15))-(IF(10=0,0,'Inputs_Data'!E15))</f>
        <v/>
      </c>
      <c r="F17" s="9">
        <f>(F16)+(E17)</f>
        <v/>
      </c>
      <c r="G17" s="9">
        <f>IF(10=0,-'Inputs_Data'!H5,0)</f>
        <v/>
      </c>
      <c r="H17" s="9">
        <f>IF(AND(10&gt;=1,10&lt;='Scenarios_10'!B5),MAX(0,(MAX(0,'Scenarios_10'!D5-'Scenarios_10'!E5/'Scenarios_10'!B5))-IF(AND(10&gt;('Scenarios_10'!B5-4),10&lt;='Scenarios_10'!B5),'Scenarios_10'!F5,0)),0)</f>
        <v/>
      </c>
      <c r="I17" s="9">
        <f>IF(10=0,'Scenarios_10'!E5,0)</f>
        <v/>
      </c>
      <c r="J17" s="9">
        <f>IF(10=0,0,IF('Scenarios_10'!C5="uniform_pct",'Inputs_Data'!E15*(1-(MIN('Scenarios_10'!G5,'Assumptions'!B10))),IF('Scenarios_10'!C5="electricity_only_pct",('Inputs_Data'!C15*(1-(MIN('Scenarios_10'!G5,'Assumptions'!B10))))+'Inputs_Data'!D15,0+('Inputs_Data'!D15*(1-AVERAGE('Assumptions'!B6,'Assumptions'!B7,'Assumptions'!B8,'Assumptions'!B9))))))</f>
        <v/>
      </c>
      <c r="K17" s="9">
        <f>(IF(10=0,-'Inputs_Data'!H5,0))+(IF(AND(10&gt;=1,10&lt;='Scenarios_10'!B5),MAX(0,(MAX(0,'Scenarios_10'!D5-'Scenarios_10'!E5/'Scenarios_10'!B5))-IF(AND(10&gt;('Scenarios_10'!B5-4),10&lt;='Scenarios_10'!B5),'Scenarios_10'!F5,0)),0))+(IF(10=0,'Scenarios_10'!E5,0))-(IF(10=0,0,IF('Scenarios_10'!C5="uniform_pct",'Inputs_Data'!E15*(1-(MIN('Scenarios_10'!G5,'Assumptions'!B10))),IF('Scenarios_10'!C5="electricity_only_pct",('Inputs_Data'!C15*(1-(MIN('Scenarios_10'!G5,'Assumptions'!B10))))+'Inputs_Data'!D15,0+('Inputs_Data'!D15*(1-AVERAGE('Assumptions'!B6,'Assumptions'!B7,'Assumptions'!B8,'Assumptions'!B9)))))))</f>
        <v/>
      </c>
      <c r="L17" s="9">
        <f>(L16)+(K17)</f>
        <v/>
      </c>
    </row>
    <row r="20">
      <c r="A20" s="6" t="inlineStr">
        <is>
          <t>Tier: ='Scenarios_10'!A6</t>
        </is>
      </c>
    </row>
    <row r="21">
      <c r="A21" s="4" t="inlineStr">
        <is>
          <t>year</t>
        </is>
      </c>
      <c r="B21" s="4" t="inlineStr">
        <is>
          <t>trust_capex</t>
        </is>
      </c>
      <c r="C21" s="4" t="inlineStr">
        <is>
          <t>trust_fee</t>
        </is>
      </c>
      <c r="D21" s="4" t="inlineStr">
        <is>
          <t>trust_cash_opex</t>
        </is>
      </c>
      <c r="E21" s="4" t="inlineStr">
        <is>
          <t>trust_net_cf</t>
        </is>
      </c>
      <c r="F21" s="4" t="inlineStr">
        <is>
          <t>trust_cum_cf</t>
        </is>
      </c>
      <c r="G21" s="4" t="inlineStr">
        <is>
          <t>laas_capex</t>
        </is>
      </c>
      <c r="H21" s="4" t="inlineStr">
        <is>
          <t>laas_fee</t>
        </is>
      </c>
      <c r="I21" s="4" t="inlineStr">
        <is>
          <t>laas_upfront</t>
        </is>
      </c>
      <c r="J21" s="4" t="inlineStr">
        <is>
          <t>laas_cash_opex</t>
        </is>
      </c>
      <c r="K21" s="4" t="inlineStr">
        <is>
          <t>laas_net_cf</t>
        </is>
      </c>
      <c r="L21" s="4" t="inlineStr">
        <is>
          <t>laas_cum_cf</t>
        </is>
      </c>
    </row>
    <row r="22">
      <c r="A22" s="5" t="n">
        <v>0</v>
      </c>
      <c r="B22" s="9">
        <f>IF(0=0,-'Inputs_Data'!H5,0)</f>
        <v/>
      </c>
      <c r="C22" s="9">
        <f>IF(0=0,0,'Inputs_Data'!B5)</f>
        <v/>
      </c>
      <c r="D22" s="9">
        <f>IF(0=0,0,'Inputs_Data'!E5)</f>
        <v/>
      </c>
      <c r="E22" s="9">
        <f>(IF(0=0,-'Inputs_Data'!H5,0))+(IF(0=0,0,'Inputs_Data'!B5))-(IF(0=0,0,'Inputs_Data'!E5))</f>
        <v/>
      </c>
      <c r="F22" s="9">
        <f>(0)+(E22)</f>
        <v/>
      </c>
      <c r="G22" s="9">
        <f>IF(0=0,-'Inputs_Data'!H5,0)</f>
        <v/>
      </c>
      <c r="H22" s="9">
        <f>IF(AND(0&gt;=1,0&lt;='Scenarios_10'!B6),MAX(0,(MAX(0,'Scenarios_10'!D6-'Scenarios_10'!E6/'Scenarios_10'!B6))-IF(AND(0&gt;('Scenarios_10'!B6-4),0&lt;='Scenarios_10'!B6),'Scenarios_10'!F6,0)),0)</f>
        <v/>
      </c>
      <c r="I22" s="9">
        <f>IF(0=0,'Scenarios_10'!E6,0)</f>
        <v/>
      </c>
      <c r="J22" s="9">
        <f>IF(0=0,0,IF('Scenarios_10'!C6="uniform_pct",'Inputs_Data'!E5*(1-(MIN('Scenarios_10'!G6,'Assumptions'!B10))),IF('Scenarios_10'!C6="electricity_only_pct",('Inputs_Data'!C5*(1-(MIN('Scenarios_10'!G6,'Assumptions'!B10))))+'Inputs_Data'!D5,0+('Inputs_Data'!D5*(1-AVERAGE('Assumptions'!B6,'Assumptions'!B7,'Assumptions'!B8,'Assumptions'!B9))))))</f>
        <v/>
      </c>
      <c r="K22" s="9">
        <f>(IF(0=0,-'Inputs_Data'!H5,0))+(IF(AND(0&gt;=1,0&lt;='Scenarios_10'!B6),MAX(0,(MAX(0,'Scenarios_10'!D6-'Scenarios_10'!E6/'Scenarios_10'!B6))-IF(AND(0&gt;('Scenarios_10'!B6-4),0&lt;='Scenarios_10'!B6),'Scenarios_10'!F6,0)),0))+(IF(0=0,'Scenarios_10'!E6,0))-(IF(0=0,0,IF('Scenarios_10'!C6="uniform_pct",'Inputs_Data'!E5*(1-(MIN('Scenarios_10'!G6,'Assumptions'!B10))),IF('Scenarios_10'!C6="electricity_only_pct",('Inputs_Data'!C5*(1-(MIN('Scenarios_10'!G6,'Assumptions'!B10))))+'Inputs_Data'!D5,0+('Inputs_Data'!D5*(1-AVERAGE('Assumptions'!B6,'Assumptions'!B7,'Assumptions'!B8,'Assumptions'!B9)))))))</f>
        <v/>
      </c>
      <c r="L22" s="9">
        <f>(0)+(K22)</f>
        <v/>
      </c>
    </row>
    <row r="23">
      <c r="A23" s="5" t="n">
        <v>1</v>
      </c>
      <c r="B23" s="9">
        <f>IF(1=0,-'Inputs_Data'!H5,0)</f>
        <v/>
      </c>
      <c r="C23" s="9">
        <f>IF(1=0,0,'Inputs_Data'!B6)</f>
        <v/>
      </c>
      <c r="D23" s="9">
        <f>IF(1=0,0,'Inputs_Data'!E6)</f>
        <v/>
      </c>
      <c r="E23" s="9">
        <f>(IF(1=0,-'Inputs_Data'!H5,0))+(IF(1=0,0,'Inputs_Data'!B6))-(IF(1=0,0,'Inputs_Data'!E6))</f>
        <v/>
      </c>
      <c r="F23" s="9">
        <f>(F22)+(E23)</f>
        <v/>
      </c>
      <c r="G23" s="9">
        <f>IF(1=0,-'Inputs_Data'!H5,0)</f>
        <v/>
      </c>
      <c r="H23" s="9">
        <f>IF(AND(1&gt;=1,1&lt;='Scenarios_10'!B6),MAX(0,(MAX(0,'Scenarios_10'!D6-'Scenarios_10'!E6/'Scenarios_10'!B6))-IF(AND(1&gt;('Scenarios_10'!B6-4),1&lt;='Scenarios_10'!B6),'Scenarios_10'!F6,0)),0)</f>
        <v/>
      </c>
      <c r="I23" s="9">
        <f>IF(1=0,'Scenarios_10'!E6,0)</f>
        <v/>
      </c>
      <c r="J23" s="9">
        <f>IF(1=0,0,IF('Scenarios_10'!C6="uniform_pct",'Inputs_Data'!E6*(1-(MIN('Scenarios_10'!G6,'Assumptions'!B10))),IF('Scenarios_10'!C6="electricity_only_pct",('Inputs_Data'!C6*(1-(MIN('Scenarios_10'!G6,'Assumptions'!B10))))+'Inputs_Data'!D6,0+('Inputs_Data'!D6*(1-AVERAGE('Assumptions'!B6,'Assumptions'!B7,'Assumptions'!B8,'Assumptions'!B9))))))</f>
        <v/>
      </c>
      <c r="K23" s="9">
        <f>(IF(1=0,-'Inputs_Data'!H5,0))+(IF(AND(1&gt;=1,1&lt;='Scenarios_10'!B6),MAX(0,(MAX(0,'Scenarios_10'!D6-'Scenarios_10'!E6/'Scenarios_10'!B6))-IF(AND(1&gt;('Scenarios_10'!B6-4),1&lt;='Scenarios_10'!B6),'Scenarios_10'!F6,0)),0))+(IF(1=0,'Scenarios_10'!E6,0))-(IF(1=0,0,IF('Scenarios_10'!C6="uniform_pct",'Inputs_Data'!E6*(1-(MIN('Scenarios_10'!G6,'Assumptions'!B10))),IF('Scenarios_10'!C6="electricity_only_pct",('Inputs_Data'!C6*(1-(MIN('Scenarios_10'!G6,'Assumptions'!B10))))+'Inputs_Data'!D6,0+('Inputs_Data'!D6*(1-AVERAGE('Assumptions'!B6,'Assumptions'!B7,'Assumptions'!B8,'Assumptions'!B9)))))))</f>
        <v/>
      </c>
      <c r="L23" s="9">
        <f>(L22)+(K23)</f>
        <v/>
      </c>
    </row>
    <row r="24">
      <c r="A24" s="5" t="n">
        <v>2</v>
      </c>
      <c r="B24" s="9">
        <f>IF(2=0,-'Inputs_Data'!H5,0)</f>
        <v/>
      </c>
      <c r="C24" s="9">
        <f>IF(2=0,0,'Inputs_Data'!B7)</f>
        <v/>
      </c>
      <c r="D24" s="9">
        <f>IF(2=0,0,'Inputs_Data'!E7)</f>
        <v/>
      </c>
      <c r="E24" s="9">
        <f>(IF(2=0,-'Inputs_Data'!H5,0))+(IF(2=0,0,'Inputs_Data'!B7))-(IF(2=0,0,'Inputs_Data'!E7))</f>
        <v/>
      </c>
      <c r="F24" s="9">
        <f>(F23)+(E24)</f>
        <v/>
      </c>
      <c r="G24" s="9">
        <f>IF(2=0,-'Inputs_Data'!H5,0)</f>
        <v/>
      </c>
      <c r="H24" s="9">
        <f>IF(AND(2&gt;=1,2&lt;='Scenarios_10'!B6),MAX(0,(MAX(0,'Scenarios_10'!D6-'Scenarios_10'!E6/'Scenarios_10'!B6))-IF(AND(2&gt;('Scenarios_10'!B6-4),2&lt;='Scenarios_10'!B6),'Scenarios_10'!F6,0)),0)</f>
        <v/>
      </c>
      <c r="I24" s="9">
        <f>IF(2=0,'Scenarios_10'!E6,0)</f>
        <v/>
      </c>
      <c r="J24" s="9">
        <f>IF(2=0,0,IF('Scenarios_10'!C6="uniform_pct",'Inputs_Data'!E7*(1-(MIN('Scenarios_10'!G6,'Assumptions'!B10))),IF('Scenarios_10'!C6="electricity_only_pct",('Inputs_Data'!C7*(1-(MIN('Scenarios_10'!G6,'Assumptions'!B10))))+'Inputs_Data'!D7,0+('Inputs_Data'!D7*(1-AVERAGE('Assumptions'!B6,'Assumptions'!B7,'Assumptions'!B8,'Assumptions'!B9))))))</f>
        <v/>
      </c>
      <c r="K24" s="9">
        <f>(IF(2=0,-'Inputs_Data'!H5,0))+(IF(AND(2&gt;=1,2&lt;='Scenarios_10'!B6),MAX(0,(MAX(0,'Scenarios_10'!D6-'Scenarios_10'!E6/'Scenarios_10'!B6))-IF(AND(2&gt;('Scenarios_10'!B6-4),2&lt;='Scenarios_10'!B6),'Scenarios_10'!F6,0)),0))+(IF(2=0,'Scenarios_10'!E6,0))-(IF(2=0,0,IF('Scenarios_10'!C6="uniform_pct",'Inputs_Data'!E7*(1-(MIN('Scenarios_10'!G6,'Assumptions'!B10))),IF('Scenarios_10'!C6="electricity_only_pct",('Inputs_Data'!C7*(1-(MIN('Scenarios_10'!G6,'Assumptions'!B10))))+'Inputs_Data'!D7,0+('Inputs_Data'!D7*(1-AVERAGE('Assumptions'!B6,'Assumptions'!B7,'Assumptions'!B8,'Assumptions'!B9)))))))</f>
        <v/>
      </c>
      <c r="L24" s="9">
        <f>(L23)+(K24)</f>
        <v/>
      </c>
    </row>
    <row r="25">
      <c r="A25" s="5" t="n">
        <v>3</v>
      </c>
      <c r="B25" s="9">
        <f>IF(3=0,-'Inputs_Data'!H5,0)</f>
        <v/>
      </c>
      <c r="C25" s="9">
        <f>IF(3=0,0,'Inputs_Data'!B8)</f>
        <v/>
      </c>
      <c r="D25" s="9">
        <f>IF(3=0,0,'Inputs_Data'!E8)</f>
        <v/>
      </c>
      <c r="E25" s="9">
        <f>(IF(3=0,-'Inputs_Data'!H5,0))+(IF(3=0,0,'Inputs_Data'!B8))-(IF(3=0,0,'Inputs_Data'!E8))</f>
        <v/>
      </c>
      <c r="F25" s="9">
        <f>(F24)+(E25)</f>
        <v/>
      </c>
      <c r="G25" s="9">
        <f>IF(3=0,-'Inputs_Data'!H5,0)</f>
        <v/>
      </c>
      <c r="H25" s="9">
        <f>IF(AND(3&gt;=1,3&lt;='Scenarios_10'!B6),MAX(0,(MAX(0,'Scenarios_10'!D6-'Scenarios_10'!E6/'Scenarios_10'!B6))-IF(AND(3&gt;('Scenarios_10'!B6-4),3&lt;='Scenarios_10'!B6),'Scenarios_10'!F6,0)),0)</f>
        <v/>
      </c>
      <c r="I25" s="9">
        <f>IF(3=0,'Scenarios_10'!E6,0)</f>
        <v/>
      </c>
      <c r="J25" s="9">
        <f>IF(3=0,0,IF('Scenarios_10'!C6="uniform_pct",'Inputs_Data'!E8*(1-(MIN('Scenarios_10'!G6,'Assumptions'!B10))),IF('Scenarios_10'!C6="electricity_only_pct",('Inputs_Data'!C8*(1-(MIN('Scenarios_10'!G6,'Assumptions'!B10))))+'Inputs_Data'!D8,0+('Inputs_Data'!D8*(1-AVERAGE('Assumptions'!B6,'Assumptions'!B7,'Assumptions'!B8,'Assumptions'!B9))))))</f>
        <v/>
      </c>
      <c r="K25" s="9">
        <f>(IF(3=0,-'Inputs_Data'!H5,0))+(IF(AND(3&gt;=1,3&lt;='Scenarios_10'!B6),MAX(0,(MAX(0,'Scenarios_10'!D6-'Scenarios_10'!E6/'Scenarios_10'!B6))-IF(AND(3&gt;('Scenarios_10'!B6-4),3&lt;='Scenarios_10'!B6),'Scenarios_10'!F6,0)),0))+(IF(3=0,'Scenarios_10'!E6,0))-(IF(3=0,0,IF('Scenarios_10'!C6="uniform_pct",'Inputs_Data'!E8*(1-(MIN('Scenarios_10'!G6,'Assumptions'!B10))),IF('Scenarios_10'!C6="electricity_only_pct",('Inputs_Data'!C8*(1-(MIN('Scenarios_10'!G6,'Assumptions'!B10))))+'Inputs_Data'!D8,0+('Inputs_Data'!D8*(1-AVERAGE('Assumptions'!B6,'Assumptions'!B7,'Assumptions'!B8,'Assumptions'!B9)))))))</f>
        <v/>
      </c>
      <c r="L25" s="9">
        <f>(L24)+(K25)</f>
        <v/>
      </c>
    </row>
    <row r="26">
      <c r="A26" s="5" t="n">
        <v>4</v>
      </c>
      <c r="B26" s="9">
        <f>IF(4=0,-'Inputs_Data'!H5,0)</f>
        <v/>
      </c>
      <c r="C26" s="9">
        <f>IF(4=0,0,'Inputs_Data'!B9)</f>
        <v/>
      </c>
      <c r="D26" s="9">
        <f>IF(4=0,0,'Inputs_Data'!E9)</f>
        <v/>
      </c>
      <c r="E26" s="9">
        <f>(IF(4=0,-'Inputs_Data'!H5,0))+(IF(4=0,0,'Inputs_Data'!B9))-(IF(4=0,0,'Inputs_Data'!E9))</f>
        <v/>
      </c>
      <c r="F26" s="9">
        <f>(F25)+(E26)</f>
        <v/>
      </c>
      <c r="G26" s="9">
        <f>IF(4=0,-'Inputs_Data'!H5,0)</f>
        <v/>
      </c>
      <c r="H26" s="9">
        <f>IF(AND(4&gt;=1,4&lt;='Scenarios_10'!B6),MAX(0,(MAX(0,'Scenarios_10'!D6-'Scenarios_10'!E6/'Scenarios_10'!B6))-IF(AND(4&gt;('Scenarios_10'!B6-4),4&lt;='Scenarios_10'!B6),'Scenarios_10'!F6,0)),0)</f>
        <v/>
      </c>
      <c r="I26" s="9">
        <f>IF(4=0,'Scenarios_10'!E6,0)</f>
        <v/>
      </c>
      <c r="J26" s="9">
        <f>IF(4=0,0,IF('Scenarios_10'!C6="uniform_pct",'Inputs_Data'!E9*(1-(MIN('Scenarios_10'!G6,'Assumptions'!B10))),IF('Scenarios_10'!C6="electricity_only_pct",('Inputs_Data'!C9*(1-(MIN('Scenarios_10'!G6,'Assumptions'!B10))))+'Inputs_Data'!D9,0+('Inputs_Data'!D9*(1-AVERAGE('Assumptions'!B6,'Assumptions'!B7,'Assumptions'!B8,'Assumptions'!B9))))))</f>
        <v/>
      </c>
      <c r="K26" s="9">
        <f>(IF(4=0,-'Inputs_Data'!H5,0))+(IF(AND(4&gt;=1,4&lt;='Scenarios_10'!B6),MAX(0,(MAX(0,'Scenarios_10'!D6-'Scenarios_10'!E6/'Scenarios_10'!B6))-IF(AND(4&gt;('Scenarios_10'!B6-4),4&lt;='Scenarios_10'!B6),'Scenarios_10'!F6,0)),0))+(IF(4=0,'Scenarios_10'!E6,0))-(IF(4=0,0,IF('Scenarios_10'!C6="uniform_pct",'Inputs_Data'!E9*(1-(MIN('Scenarios_10'!G6,'Assumptions'!B10))),IF('Scenarios_10'!C6="electricity_only_pct",('Inputs_Data'!C9*(1-(MIN('Scenarios_10'!G6,'Assumptions'!B10))))+'Inputs_Data'!D9,0+('Inputs_Data'!D9*(1-AVERAGE('Assumptions'!B6,'Assumptions'!B7,'Assumptions'!B8,'Assumptions'!B9)))))))</f>
        <v/>
      </c>
      <c r="L26" s="9">
        <f>(L25)+(K26)</f>
        <v/>
      </c>
    </row>
    <row r="27">
      <c r="A27" s="5" t="n">
        <v>5</v>
      </c>
      <c r="B27" s="9">
        <f>IF(5=0,-'Inputs_Data'!H5,0)</f>
        <v/>
      </c>
      <c r="C27" s="9">
        <f>IF(5=0,0,'Inputs_Data'!B10)</f>
        <v/>
      </c>
      <c r="D27" s="9">
        <f>IF(5=0,0,'Inputs_Data'!E10)</f>
        <v/>
      </c>
      <c r="E27" s="9">
        <f>(IF(5=0,-'Inputs_Data'!H5,0))+(IF(5=0,0,'Inputs_Data'!B10))-(IF(5=0,0,'Inputs_Data'!E10))</f>
        <v/>
      </c>
      <c r="F27" s="9">
        <f>(F26)+(E27)</f>
        <v/>
      </c>
      <c r="G27" s="9">
        <f>IF(5=0,-'Inputs_Data'!H5,0)</f>
        <v/>
      </c>
      <c r="H27" s="9">
        <f>IF(AND(5&gt;=1,5&lt;='Scenarios_10'!B6),MAX(0,(MAX(0,'Scenarios_10'!D6-'Scenarios_10'!E6/'Scenarios_10'!B6))-IF(AND(5&gt;('Scenarios_10'!B6-4),5&lt;='Scenarios_10'!B6),'Scenarios_10'!F6,0)),0)</f>
        <v/>
      </c>
      <c r="I27" s="9">
        <f>IF(5=0,'Scenarios_10'!E6,0)</f>
        <v/>
      </c>
      <c r="J27" s="9">
        <f>IF(5=0,0,IF('Scenarios_10'!C6="uniform_pct",'Inputs_Data'!E10*(1-(MIN('Scenarios_10'!G6,'Assumptions'!B10))),IF('Scenarios_10'!C6="electricity_only_pct",('Inputs_Data'!C10*(1-(MIN('Scenarios_10'!G6,'Assumptions'!B10))))+'Inputs_Data'!D10,0+('Inputs_Data'!D10*(1-AVERAGE('Assumptions'!B6,'Assumptions'!B7,'Assumptions'!B8,'Assumptions'!B9))))))</f>
        <v/>
      </c>
      <c r="K27" s="9">
        <f>(IF(5=0,-'Inputs_Data'!H5,0))+(IF(AND(5&gt;=1,5&lt;='Scenarios_10'!B6),MAX(0,(MAX(0,'Scenarios_10'!D6-'Scenarios_10'!E6/'Scenarios_10'!B6))-IF(AND(5&gt;('Scenarios_10'!B6-4),5&lt;='Scenarios_10'!B6),'Scenarios_10'!F6,0)),0))+(IF(5=0,'Scenarios_10'!E6,0))-(IF(5=0,0,IF('Scenarios_10'!C6="uniform_pct",'Inputs_Data'!E10*(1-(MIN('Scenarios_10'!G6,'Assumptions'!B10))),IF('Scenarios_10'!C6="electricity_only_pct",('Inputs_Data'!C10*(1-(MIN('Scenarios_10'!G6,'Assumptions'!B10))))+'Inputs_Data'!D10,0+('Inputs_Data'!D10*(1-AVERAGE('Assumptions'!B6,'Assumptions'!B7,'Assumptions'!B8,'Assumptions'!B9)))))))</f>
        <v/>
      </c>
      <c r="L27" s="9">
        <f>(L26)+(K27)</f>
        <v/>
      </c>
    </row>
    <row r="28">
      <c r="A28" s="5" t="n">
        <v>6</v>
      </c>
      <c r="B28" s="9">
        <f>IF(6=0,-'Inputs_Data'!H5,0)</f>
        <v/>
      </c>
      <c r="C28" s="9">
        <f>IF(6=0,0,'Inputs_Data'!B11)</f>
        <v/>
      </c>
      <c r="D28" s="9">
        <f>IF(6=0,0,'Inputs_Data'!E11)</f>
        <v/>
      </c>
      <c r="E28" s="9">
        <f>(IF(6=0,-'Inputs_Data'!H5,0))+(IF(6=0,0,'Inputs_Data'!B11))-(IF(6=0,0,'Inputs_Data'!E11))</f>
        <v/>
      </c>
      <c r="F28" s="9">
        <f>(F27)+(E28)</f>
        <v/>
      </c>
      <c r="G28" s="9">
        <f>IF(6=0,-'Inputs_Data'!H5,0)</f>
        <v/>
      </c>
      <c r="H28" s="9">
        <f>IF(AND(6&gt;=1,6&lt;='Scenarios_10'!B6),MAX(0,(MAX(0,'Scenarios_10'!D6-'Scenarios_10'!E6/'Scenarios_10'!B6))-IF(AND(6&gt;('Scenarios_10'!B6-4),6&lt;='Scenarios_10'!B6),'Scenarios_10'!F6,0)),0)</f>
        <v/>
      </c>
      <c r="I28" s="9">
        <f>IF(6=0,'Scenarios_10'!E6,0)</f>
        <v/>
      </c>
      <c r="J28" s="9">
        <f>IF(6=0,0,IF('Scenarios_10'!C6="uniform_pct",'Inputs_Data'!E11*(1-(MIN('Scenarios_10'!G6,'Assumptions'!B10))),IF('Scenarios_10'!C6="electricity_only_pct",('Inputs_Data'!C11*(1-(MIN('Scenarios_10'!G6,'Assumptions'!B10))))+'Inputs_Data'!D11,0+('Inputs_Data'!D11*(1-AVERAGE('Assumptions'!B6,'Assumptions'!B7,'Assumptions'!B8,'Assumptions'!B9))))))</f>
        <v/>
      </c>
      <c r="K28" s="9">
        <f>(IF(6=0,-'Inputs_Data'!H5,0))+(IF(AND(6&gt;=1,6&lt;='Scenarios_10'!B6),MAX(0,(MAX(0,'Scenarios_10'!D6-'Scenarios_10'!E6/'Scenarios_10'!B6))-IF(AND(6&gt;('Scenarios_10'!B6-4),6&lt;='Scenarios_10'!B6),'Scenarios_10'!F6,0)),0))+(IF(6=0,'Scenarios_10'!E6,0))-(IF(6=0,0,IF('Scenarios_10'!C6="uniform_pct",'Inputs_Data'!E11*(1-(MIN('Scenarios_10'!G6,'Assumptions'!B10))),IF('Scenarios_10'!C6="electricity_only_pct",('Inputs_Data'!C11*(1-(MIN('Scenarios_10'!G6,'Assumptions'!B10))))+'Inputs_Data'!D11,0+('Inputs_Data'!D11*(1-AVERAGE('Assumptions'!B6,'Assumptions'!B7,'Assumptions'!B8,'Assumptions'!B9)))))))</f>
        <v/>
      </c>
      <c r="L28" s="9">
        <f>(L27)+(K28)</f>
        <v/>
      </c>
    </row>
    <row r="29">
      <c r="A29" s="5" t="n">
        <v>7</v>
      </c>
      <c r="B29" s="9">
        <f>IF(7=0,-'Inputs_Data'!H5,0)</f>
        <v/>
      </c>
      <c r="C29" s="9">
        <f>IF(7=0,0,'Inputs_Data'!B12)</f>
        <v/>
      </c>
      <c r="D29" s="9">
        <f>IF(7=0,0,'Inputs_Data'!E12)</f>
        <v/>
      </c>
      <c r="E29" s="9">
        <f>(IF(7=0,-'Inputs_Data'!H5,0))+(IF(7=0,0,'Inputs_Data'!B12))-(IF(7=0,0,'Inputs_Data'!E12))</f>
        <v/>
      </c>
      <c r="F29" s="9">
        <f>(F28)+(E29)</f>
        <v/>
      </c>
      <c r="G29" s="9">
        <f>IF(7=0,-'Inputs_Data'!H5,0)</f>
        <v/>
      </c>
      <c r="H29" s="9">
        <f>IF(AND(7&gt;=1,7&lt;='Scenarios_10'!B6),MAX(0,(MAX(0,'Scenarios_10'!D6-'Scenarios_10'!E6/'Scenarios_10'!B6))-IF(AND(7&gt;('Scenarios_10'!B6-4),7&lt;='Scenarios_10'!B6),'Scenarios_10'!F6,0)),0)</f>
        <v/>
      </c>
      <c r="I29" s="9">
        <f>IF(7=0,'Scenarios_10'!E6,0)</f>
        <v/>
      </c>
      <c r="J29" s="9">
        <f>IF(7=0,0,IF('Scenarios_10'!C6="uniform_pct",'Inputs_Data'!E12*(1-(MIN('Scenarios_10'!G6,'Assumptions'!B10))),IF('Scenarios_10'!C6="electricity_only_pct",('Inputs_Data'!C12*(1-(MIN('Scenarios_10'!G6,'Assumptions'!B10))))+'Inputs_Data'!D12,0+('Inputs_Data'!D12*(1-AVERAGE('Assumptions'!B6,'Assumptions'!B7,'Assumptions'!B8,'Assumptions'!B9))))))</f>
        <v/>
      </c>
      <c r="K29" s="9">
        <f>(IF(7=0,-'Inputs_Data'!H5,0))+(IF(AND(7&gt;=1,7&lt;='Scenarios_10'!B6),MAX(0,(MAX(0,'Scenarios_10'!D6-'Scenarios_10'!E6/'Scenarios_10'!B6))-IF(AND(7&gt;('Scenarios_10'!B6-4),7&lt;='Scenarios_10'!B6),'Scenarios_10'!F6,0)),0))+(IF(7=0,'Scenarios_10'!E6,0))-(IF(7=0,0,IF('Scenarios_10'!C6="uniform_pct",'Inputs_Data'!E12*(1-(MIN('Scenarios_10'!G6,'Assumptions'!B10))),IF('Scenarios_10'!C6="electricity_only_pct",('Inputs_Data'!C12*(1-(MIN('Scenarios_10'!G6,'Assumptions'!B10))))+'Inputs_Data'!D12,0+('Inputs_Data'!D12*(1-AVERAGE('Assumptions'!B6,'Assumptions'!B7,'Assumptions'!B8,'Assumptions'!B9)))))))</f>
        <v/>
      </c>
      <c r="L29" s="9">
        <f>(L28)+(K29)</f>
        <v/>
      </c>
    </row>
    <row r="30">
      <c r="A30" s="5" t="n">
        <v>8</v>
      </c>
      <c r="B30" s="9">
        <f>IF(8=0,-'Inputs_Data'!H5,0)</f>
        <v/>
      </c>
      <c r="C30" s="9">
        <f>IF(8=0,0,'Inputs_Data'!B13)</f>
        <v/>
      </c>
      <c r="D30" s="9">
        <f>IF(8=0,0,'Inputs_Data'!E13)</f>
        <v/>
      </c>
      <c r="E30" s="9">
        <f>(IF(8=0,-'Inputs_Data'!H5,0))+(IF(8=0,0,'Inputs_Data'!B13))-(IF(8=0,0,'Inputs_Data'!E13))</f>
        <v/>
      </c>
      <c r="F30" s="9">
        <f>(F29)+(E30)</f>
        <v/>
      </c>
      <c r="G30" s="9">
        <f>IF(8=0,-'Inputs_Data'!H5,0)</f>
        <v/>
      </c>
      <c r="H30" s="9">
        <f>IF(AND(8&gt;=1,8&lt;='Scenarios_10'!B6),MAX(0,(MAX(0,'Scenarios_10'!D6-'Scenarios_10'!E6/'Scenarios_10'!B6))-IF(AND(8&gt;('Scenarios_10'!B6-4),8&lt;='Scenarios_10'!B6),'Scenarios_10'!F6,0)),0)</f>
        <v/>
      </c>
      <c r="I30" s="9">
        <f>IF(8=0,'Scenarios_10'!E6,0)</f>
        <v/>
      </c>
      <c r="J30" s="9">
        <f>IF(8=0,0,IF('Scenarios_10'!C6="uniform_pct",'Inputs_Data'!E13*(1-(MIN('Scenarios_10'!G6,'Assumptions'!B10))),IF('Scenarios_10'!C6="electricity_only_pct",('Inputs_Data'!C13*(1-(MIN('Scenarios_10'!G6,'Assumptions'!B10))))+'Inputs_Data'!D13,0+('Inputs_Data'!D13*(1-AVERAGE('Assumptions'!B6,'Assumptions'!B7,'Assumptions'!B8,'Assumptions'!B9))))))</f>
        <v/>
      </c>
      <c r="K30" s="9">
        <f>(IF(8=0,-'Inputs_Data'!H5,0))+(IF(AND(8&gt;=1,8&lt;='Scenarios_10'!B6),MAX(0,(MAX(0,'Scenarios_10'!D6-'Scenarios_10'!E6/'Scenarios_10'!B6))-IF(AND(8&gt;('Scenarios_10'!B6-4),8&lt;='Scenarios_10'!B6),'Scenarios_10'!F6,0)),0))+(IF(8=0,'Scenarios_10'!E6,0))-(IF(8=0,0,IF('Scenarios_10'!C6="uniform_pct",'Inputs_Data'!E13*(1-(MIN('Scenarios_10'!G6,'Assumptions'!B10))),IF('Scenarios_10'!C6="electricity_only_pct",('Inputs_Data'!C13*(1-(MIN('Scenarios_10'!G6,'Assumptions'!B10))))+'Inputs_Data'!D13,0+('Inputs_Data'!D13*(1-AVERAGE('Assumptions'!B6,'Assumptions'!B7,'Assumptions'!B8,'Assumptions'!B9)))))))</f>
        <v/>
      </c>
      <c r="L30" s="9">
        <f>(L29)+(K30)</f>
        <v/>
      </c>
    </row>
    <row r="31">
      <c r="A31" s="5" t="n">
        <v>9</v>
      </c>
      <c r="B31" s="9">
        <f>IF(9=0,-'Inputs_Data'!H5,0)</f>
        <v/>
      </c>
      <c r="C31" s="9">
        <f>IF(9=0,0,'Inputs_Data'!B14)</f>
        <v/>
      </c>
      <c r="D31" s="9">
        <f>IF(9=0,0,'Inputs_Data'!E14)</f>
        <v/>
      </c>
      <c r="E31" s="9">
        <f>(IF(9=0,-'Inputs_Data'!H5,0))+(IF(9=0,0,'Inputs_Data'!B14))-(IF(9=0,0,'Inputs_Data'!E14))</f>
        <v/>
      </c>
      <c r="F31" s="9">
        <f>(F30)+(E31)</f>
        <v/>
      </c>
      <c r="G31" s="9">
        <f>IF(9=0,-'Inputs_Data'!H5,0)</f>
        <v/>
      </c>
      <c r="H31" s="9">
        <f>IF(AND(9&gt;=1,9&lt;='Scenarios_10'!B6),MAX(0,(MAX(0,'Scenarios_10'!D6-'Scenarios_10'!E6/'Scenarios_10'!B6))-IF(AND(9&gt;('Scenarios_10'!B6-4),9&lt;='Scenarios_10'!B6),'Scenarios_10'!F6,0)),0)</f>
        <v/>
      </c>
      <c r="I31" s="9">
        <f>IF(9=0,'Scenarios_10'!E6,0)</f>
        <v/>
      </c>
      <c r="J31" s="9">
        <f>IF(9=0,0,IF('Scenarios_10'!C6="uniform_pct",'Inputs_Data'!E14*(1-(MIN('Scenarios_10'!G6,'Assumptions'!B10))),IF('Scenarios_10'!C6="electricity_only_pct",('Inputs_Data'!C14*(1-(MIN('Scenarios_10'!G6,'Assumptions'!B10))))+'Inputs_Data'!D14,0+('Inputs_Data'!D14*(1-AVERAGE('Assumptions'!B6,'Assumptions'!B7,'Assumptions'!B8,'Assumptions'!B9))))))</f>
        <v/>
      </c>
      <c r="K31" s="9">
        <f>(IF(9=0,-'Inputs_Data'!H5,0))+(IF(AND(9&gt;=1,9&lt;='Scenarios_10'!B6),MAX(0,(MAX(0,'Scenarios_10'!D6-'Scenarios_10'!E6/'Scenarios_10'!B6))-IF(AND(9&gt;('Scenarios_10'!B6-4),9&lt;='Scenarios_10'!B6),'Scenarios_10'!F6,0)),0))+(IF(9=0,'Scenarios_10'!E6,0))-(IF(9=0,0,IF('Scenarios_10'!C6="uniform_pct",'Inputs_Data'!E14*(1-(MIN('Scenarios_10'!G6,'Assumptions'!B10))),IF('Scenarios_10'!C6="electricity_only_pct",('Inputs_Data'!C14*(1-(MIN('Scenarios_10'!G6,'Assumptions'!B10))))+'Inputs_Data'!D14,0+('Inputs_Data'!D14*(1-AVERAGE('Assumptions'!B6,'Assumptions'!B7,'Assumptions'!B8,'Assumptions'!B9)))))))</f>
        <v/>
      </c>
      <c r="L31" s="9">
        <f>(L30)+(K31)</f>
        <v/>
      </c>
    </row>
    <row r="32">
      <c r="A32" s="5" t="n">
        <v>10</v>
      </c>
      <c r="B32" s="9">
        <f>IF(10=0,-'Inputs_Data'!H5,0)</f>
        <v/>
      </c>
      <c r="C32" s="9">
        <f>IF(10=0,0,'Inputs_Data'!B15)</f>
        <v/>
      </c>
      <c r="D32" s="9">
        <f>IF(10=0,0,'Inputs_Data'!E15)</f>
        <v/>
      </c>
      <c r="E32" s="9">
        <f>(IF(10=0,-'Inputs_Data'!H5,0))+(IF(10=0,0,'Inputs_Data'!B15))-(IF(10=0,0,'Inputs_Data'!E15))</f>
        <v/>
      </c>
      <c r="F32" s="9">
        <f>(F31)+(E32)</f>
        <v/>
      </c>
      <c r="G32" s="9">
        <f>IF(10=0,-'Inputs_Data'!H5,0)</f>
        <v/>
      </c>
      <c r="H32" s="9">
        <f>IF(AND(10&gt;=1,10&lt;='Scenarios_10'!B6),MAX(0,(MAX(0,'Scenarios_10'!D6-'Scenarios_10'!E6/'Scenarios_10'!B6))-IF(AND(10&gt;('Scenarios_10'!B6-4),10&lt;='Scenarios_10'!B6),'Scenarios_10'!F6,0)),0)</f>
        <v/>
      </c>
      <c r="I32" s="9">
        <f>IF(10=0,'Scenarios_10'!E6,0)</f>
        <v/>
      </c>
      <c r="J32" s="9">
        <f>IF(10=0,0,IF('Scenarios_10'!C6="uniform_pct",'Inputs_Data'!E15*(1-(MIN('Scenarios_10'!G6,'Assumptions'!B10))),IF('Scenarios_10'!C6="electricity_only_pct",('Inputs_Data'!C15*(1-(MIN('Scenarios_10'!G6,'Assumptions'!B10))))+'Inputs_Data'!D15,0+('Inputs_Data'!D15*(1-AVERAGE('Assumptions'!B6,'Assumptions'!B7,'Assumptions'!B8,'Assumptions'!B9))))))</f>
        <v/>
      </c>
      <c r="K32" s="9">
        <f>(IF(10=0,-'Inputs_Data'!H5,0))+(IF(AND(10&gt;=1,10&lt;='Scenarios_10'!B6),MAX(0,(MAX(0,'Scenarios_10'!D6-'Scenarios_10'!E6/'Scenarios_10'!B6))-IF(AND(10&gt;('Scenarios_10'!B6-4),10&lt;='Scenarios_10'!B6),'Scenarios_10'!F6,0)),0))+(IF(10=0,'Scenarios_10'!E6,0))-(IF(10=0,0,IF('Scenarios_10'!C6="uniform_pct",'Inputs_Data'!E15*(1-(MIN('Scenarios_10'!G6,'Assumptions'!B10))),IF('Scenarios_10'!C6="electricity_only_pct",('Inputs_Data'!C15*(1-(MIN('Scenarios_10'!G6,'Assumptions'!B10))))+'Inputs_Data'!D15,0+('Inputs_Data'!D15*(1-AVERAGE('Assumptions'!B6,'Assumptions'!B7,'Assumptions'!B8,'Assumptions'!B9)))))))</f>
        <v/>
      </c>
      <c r="L32" s="9">
        <f>(L31)+(K32)</f>
        <v/>
      </c>
    </row>
    <row r="35">
      <c r="A35" s="6" t="inlineStr">
        <is>
          <t>Tier: ='Scenarios_10'!A7</t>
        </is>
      </c>
    </row>
    <row r="36">
      <c r="A36" s="4" t="inlineStr">
        <is>
          <t>year</t>
        </is>
      </c>
      <c r="B36" s="4" t="inlineStr">
        <is>
          <t>trust_capex</t>
        </is>
      </c>
      <c r="C36" s="4" t="inlineStr">
        <is>
          <t>trust_fee</t>
        </is>
      </c>
      <c r="D36" s="4" t="inlineStr">
        <is>
          <t>trust_cash_opex</t>
        </is>
      </c>
      <c r="E36" s="4" t="inlineStr">
        <is>
          <t>trust_net_cf</t>
        </is>
      </c>
      <c r="F36" s="4" t="inlineStr">
        <is>
          <t>trust_cum_cf</t>
        </is>
      </c>
      <c r="G36" s="4" t="inlineStr">
        <is>
          <t>laas_capex</t>
        </is>
      </c>
      <c r="H36" s="4" t="inlineStr">
        <is>
          <t>laas_fee</t>
        </is>
      </c>
      <c r="I36" s="4" t="inlineStr">
        <is>
          <t>laas_upfront</t>
        </is>
      </c>
      <c r="J36" s="4" t="inlineStr">
        <is>
          <t>laas_cash_opex</t>
        </is>
      </c>
      <c r="K36" s="4" t="inlineStr">
        <is>
          <t>laas_net_cf</t>
        </is>
      </c>
      <c r="L36" s="4" t="inlineStr">
        <is>
          <t>laas_cum_cf</t>
        </is>
      </c>
    </row>
    <row r="37">
      <c r="A37" s="5" t="n">
        <v>0</v>
      </c>
      <c r="B37" s="9">
        <f>IF(0=0,-'Inputs_Data'!H5,0)</f>
        <v/>
      </c>
      <c r="C37" s="9">
        <f>IF(0=0,0,'Inputs_Data'!B5)</f>
        <v/>
      </c>
      <c r="D37" s="9">
        <f>IF(0=0,0,'Inputs_Data'!E5)</f>
        <v/>
      </c>
      <c r="E37" s="9">
        <f>(IF(0=0,-'Inputs_Data'!H5,0))+(IF(0=0,0,'Inputs_Data'!B5))-(IF(0=0,0,'Inputs_Data'!E5))</f>
        <v/>
      </c>
      <c r="F37" s="9">
        <f>(0)+(E37)</f>
        <v/>
      </c>
      <c r="G37" s="9">
        <f>IF(0=0,-'Inputs_Data'!H5,0)</f>
        <v/>
      </c>
      <c r="H37" s="9">
        <f>IF(AND(0&gt;=1,0&lt;='Scenarios_10'!B7),MAX(0,(MAX(0,'Scenarios_10'!D7-'Scenarios_10'!E7/'Scenarios_10'!B7))-IF(AND(0&gt;('Scenarios_10'!B7-4),0&lt;='Scenarios_10'!B7),'Scenarios_10'!F7,0)),0)</f>
        <v/>
      </c>
      <c r="I37" s="9">
        <f>IF(0=0,'Scenarios_10'!E7,0)</f>
        <v/>
      </c>
      <c r="J37" s="9">
        <f>IF(0=0,0,IF('Scenarios_10'!C7="uniform_pct",'Inputs_Data'!E5*(1-(MIN('Scenarios_10'!G7,'Assumptions'!B10))),IF('Scenarios_10'!C7="electricity_only_pct",('Inputs_Data'!C5*(1-(MIN('Scenarios_10'!G7,'Assumptions'!B10))))+'Inputs_Data'!D5,0+('Inputs_Data'!D5*(1-AVERAGE('Assumptions'!B6,'Assumptions'!B7,'Assumptions'!B8,'Assumptions'!B9))))))</f>
        <v/>
      </c>
      <c r="K37" s="9">
        <f>(IF(0=0,-'Inputs_Data'!H5,0))+(IF(AND(0&gt;=1,0&lt;='Scenarios_10'!B7),MAX(0,(MAX(0,'Scenarios_10'!D7-'Scenarios_10'!E7/'Scenarios_10'!B7))-IF(AND(0&gt;('Scenarios_10'!B7-4),0&lt;='Scenarios_10'!B7),'Scenarios_10'!F7,0)),0))+(IF(0=0,'Scenarios_10'!E7,0))-(IF(0=0,0,IF('Scenarios_10'!C7="uniform_pct",'Inputs_Data'!E5*(1-(MIN('Scenarios_10'!G7,'Assumptions'!B10))),IF('Scenarios_10'!C7="electricity_only_pct",('Inputs_Data'!C5*(1-(MIN('Scenarios_10'!G7,'Assumptions'!B10))))+'Inputs_Data'!D5,0+('Inputs_Data'!D5*(1-AVERAGE('Assumptions'!B6,'Assumptions'!B7,'Assumptions'!B8,'Assumptions'!B9)))))))</f>
        <v/>
      </c>
      <c r="L37" s="9">
        <f>(0)+(K37)</f>
        <v/>
      </c>
    </row>
    <row r="38">
      <c r="A38" s="5" t="n">
        <v>1</v>
      </c>
      <c r="B38" s="9">
        <f>IF(1=0,-'Inputs_Data'!H5,0)</f>
        <v/>
      </c>
      <c r="C38" s="9">
        <f>IF(1=0,0,'Inputs_Data'!B6)</f>
        <v/>
      </c>
      <c r="D38" s="9">
        <f>IF(1=0,0,'Inputs_Data'!E6)</f>
        <v/>
      </c>
      <c r="E38" s="9">
        <f>(IF(1=0,-'Inputs_Data'!H5,0))+(IF(1=0,0,'Inputs_Data'!B6))-(IF(1=0,0,'Inputs_Data'!E6))</f>
        <v/>
      </c>
      <c r="F38" s="9">
        <f>(F37)+(E38)</f>
        <v/>
      </c>
      <c r="G38" s="9">
        <f>IF(1=0,-'Inputs_Data'!H5,0)</f>
        <v/>
      </c>
      <c r="H38" s="9">
        <f>IF(AND(1&gt;=1,1&lt;='Scenarios_10'!B7),MAX(0,(MAX(0,'Scenarios_10'!D7-'Scenarios_10'!E7/'Scenarios_10'!B7))-IF(AND(1&gt;('Scenarios_10'!B7-4),1&lt;='Scenarios_10'!B7),'Scenarios_10'!F7,0)),0)</f>
        <v/>
      </c>
      <c r="I38" s="9">
        <f>IF(1=0,'Scenarios_10'!E7,0)</f>
        <v/>
      </c>
      <c r="J38" s="9">
        <f>IF(1=0,0,IF('Scenarios_10'!C7="uniform_pct",'Inputs_Data'!E6*(1-(MIN('Scenarios_10'!G7,'Assumptions'!B10))),IF('Scenarios_10'!C7="electricity_only_pct",('Inputs_Data'!C6*(1-(MIN('Scenarios_10'!G7,'Assumptions'!B10))))+'Inputs_Data'!D6,0+('Inputs_Data'!D6*(1-AVERAGE('Assumptions'!B6,'Assumptions'!B7,'Assumptions'!B8,'Assumptions'!B9))))))</f>
        <v/>
      </c>
      <c r="K38" s="9">
        <f>(IF(1=0,-'Inputs_Data'!H5,0))+(IF(AND(1&gt;=1,1&lt;='Scenarios_10'!B7),MAX(0,(MAX(0,'Scenarios_10'!D7-'Scenarios_10'!E7/'Scenarios_10'!B7))-IF(AND(1&gt;('Scenarios_10'!B7-4),1&lt;='Scenarios_10'!B7),'Scenarios_10'!F7,0)),0))+(IF(1=0,'Scenarios_10'!E7,0))-(IF(1=0,0,IF('Scenarios_10'!C7="uniform_pct",'Inputs_Data'!E6*(1-(MIN('Scenarios_10'!G7,'Assumptions'!B10))),IF('Scenarios_10'!C7="electricity_only_pct",('Inputs_Data'!C6*(1-(MIN('Scenarios_10'!G7,'Assumptions'!B10))))+'Inputs_Data'!D6,0+('Inputs_Data'!D6*(1-AVERAGE('Assumptions'!B6,'Assumptions'!B7,'Assumptions'!B8,'Assumptions'!B9)))))))</f>
        <v/>
      </c>
      <c r="L38" s="9">
        <f>(L37)+(K38)</f>
        <v/>
      </c>
    </row>
    <row r="39">
      <c r="A39" s="5" t="n">
        <v>2</v>
      </c>
      <c r="B39" s="9">
        <f>IF(2=0,-'Inputs_Data'!H5,0)</f>
        <v/>
      </c>
      <c r="C39" s="9">
        <f>IF(2=0,0,'Inputs_Data'!B7)</f>
        <v/>
      </c>
      <c r="D39" s="9">
        <f>IF(2=0,0,'Inputs_Data'!E7)</f>
        <v/>
      </c>
      <c r="E39" s="9">
        <f>(IF(2=0,-'Inputs_Data'!H5,0))+(IF(2=0,0,'Inputs_Data'!B7))-(IF(2=0,0,'Inputs_Data'!E7))</f>
        <v/>
      </c>
      <c r="F39" s="9">
        <f>(F38)+(E39)</f>
        <v/>
      </c>
      <c r="G39" s="9">
        <f>IF(2=0,-'Inputs_Data'!H5,0)</f>
        <v/>
      </c>
      <c r="H39" s="9">
        <f>IF(AND(2&gt;=1,2&lt;='Scenarios_10'!B7),MAX(0,(MAX(0,'Scenarios_10'!D7-'Scenarios_10'!E7/'Scenarios_10'!B7))-IF(AND(2&gt;('Scenarios_10'!B7-4),2&lt;='Scenarios_10'!B7),'Scenarios_10'!F7,0)),0)</f>
        <v/>
      </c>
      <c r="I39" s="9">
        <f>IF(2=0,'Scenarios_10'!E7,0)</f>
        <v/>
      </c>
      <c r="J39" s="9">
        <f>IF(2=0,0,IF('Scenarios_10'!C7="uniform_pct",'Inputs_Data'!E7*(1-(MIN('Scenarios_10'!G7,'Assumptions'!B10))),IF('Scenarios_10'!C7="electricity_only_pct",('Inputs_Data'!C7*(1-(MIN('Scenarios_10'!G7,'Assumptions'!B10))))+'Inputs_Data'!D7,0+('Inputs_Data'!D7*(1-AVERAGE('Assumptions'!B6,'Assumptions'!B7,'Assumptions'!B8,'Assumptions'!B9))))))</f>
        <v/>
      </c>
      <c r="K39" s="9">
        <f>(IF(2=0,-'Inputs_Data'!H5,0))+(IF(AND(2&gt;=1,2&lt;='Scenarios_10'!B7),MAX(0,(MAX(0,'Scenarios_10'!D7-'Scenarios_10'!E7/'Scenarios_10'!B7))-IF(AND(2&gt;('Scenarios_10'!B7-4),2&lt;='Scenarios_10'!B7),'Scenarios_10'!F7,0)),0))+(IF(2=0,'Scenarios_10'!E7,0))-(IF(2=0,0,IF('Scenarios_10'!C7="uniform_pct",'Inputs_Data'!E7*(1-(MIN('Scenarios_10'!G7,'Assumptions'!B10))),IF('Scenarios_10'!C7="electricity_only_pct",('Inputs_Data'!C7*(1-(MIN('Scenarios_10'!G7,'Assumptions'!B10))))+'Inputs_Data'!D7,0+('Inputs_Data'!D7*(1-AVERAGE('Assumptions'!B6,'Assumptions'!B7,'Assumptions'!B8,'Assumptions'!B9)))))))</f>
        <v/>
      </c>
      <c r="L39" s="9">
        <f>(L38)+(K39)</f>
        <v/>
      </c>
    </row>
    <row r="40">
      <c r="A40" s="5" t="n">
        <v>3</v>
      </c>
      <c r="B40" s="9">
        <f>IF(3=0,-'Inputs_Data'!H5,0)</f>
        <v/>
      </c>
      <c r="C40" s="9">
        <f>IF(3=0,0,'Inputs_Data'!B8)</f>
        <v/>
      </c>
      <c r="D40" s="9">
        <f>IF(3=0,0,'Inputs_Data'!E8)</f>
        <v/>
      </c>
      <c r="E40" s="9">
        <f>(IF(3=0,-'Inputs_Data'!H5,0))+(IF(3=0,0,'Inputs_Data'!B8))-(IF(3=0,0,'Inputs_Data'!E8))</f>
        <v/>
      </c>
      <c r="F40" s="9">
        <f>(F39)+(E40)</f>
        <v/>
      </c>
      <c r="G40" s="9">
        <f>IF(3=0,-'Inputs_Data'!H5,0)</f>
        <v/>
      </c>
      <c r="H40" s="9">
        <f>IF(AND(3&gt;=1,3&lt;='Scenarios_10'!B7),MAX(0,(MAX(0,'Scenarios_10'!D7-'Scenarios_10'!E7/'Scenarios_10'!B7))-IF(AND(3&gt;('Scenarios_10'!B7-4),3&lt;='Scenarios_10'!B7),'Scenarios_10'!F7,0)),0)</f>
        <v/>
      </c>
      <c r="I40" s="9">
        <f>IF(3=0,'Scenarios_10'!E7,0)</f>
        <v/>
      </c>
      <c r="J40" s="9">
        <f>IF(3=0,0,IF('Scenarios_10'!C7="uniform_pct",'Inputs_Data'!E8*(1-(MIN('Scenarios_10'!G7,'Assumptions'!B10))),IF('Scenarios_10'!C7="electricity_only_pct",('Inputs_Data'!C8*(1-(MIN('Scenarios_10'!G7,'Assumptions'!B10))))+'Inputs_Data'!D8,0+('Inputs_Data'!D8*(1-AVERAGE('Assumptions'!B6,'Assumptions'!B7,'Assumptions'!B8,'Assumptions'!B9))))))</f>
        <v/>
      </c>
      <c r="K40" s="9">
        <f>(IF(3=0,-'Inputs_Data'!H5,0))+(IF(AND(3&gt;=1,3&lt;='Scenarios_10'!B7),MAX(0,(MAX(0,'Scenarios_10'!D7-'Scenarios_10'!E7/'Scenarios_10'!B7))-IF(AND(3&gt;('Scenarios_10'!B7-4),3&lt;='Scenarios_10'!B7),'Scenarios_10'!F7,0)),0))+(IF(3=0,'Scenarios_10'!E7,0))-(IF(3=0,0,IF('Scenarios_10'!C7="uniform_pct",'Inputs_Data'!E8*(1-(MIN('Scenarios_10'!G7,'Assumptions'!B10))),IF('Scenarios_10'!C7="electricity_only_pct",('Inputs_Data'!C8*(1-(MIN('Scenarios_10'!G7,'Assumptions'!B10))))+'Inputs_Data'!D8,0+('Inputs_Data'!D8*(1-AVERAGE('Assumptions'!B6,'Assumptions'!B7,'Assumptions'!B8,'Assumptions'!B9)))))))</f>
        <v/>
      </c>
      <c r="L40" s="9">
        <f>(L39)+(K40)</f>
        <v/>
      </c>
    </row>
    <row r="41">
      <c r="A41" s="5" t="n">
        <v>4</v>
      </c>
      <c r="B41" s="9">
        <f>IF(4=0,-'Inputs_Data'!H5,0)</f>
        <v/>
      </c>
      <c r="C41" s="9">
        <f>IF(4=0,0,'Inputs_Data'!B9)</f>
        <v/>
      </c>
      <c r="D41" s="9">
        <f>IF(4=0,0,'Inputs_Data'!E9)</f>
        <v/>
      </c>
      <c r="E41" s="9">
        <f>(IF(4=0,-'Inputs_Data'!H5,0))+(IF(4=0,0,'Inputs_Data'!B9))-(IF(4=0,0,'Inputs_Data'!E9))</f>
        <v/>
      </c>
      <c r="F41" s="9">
        <f>(F40)+(E41)</f>
        <v/>
      </c>
      <c r="G41" s="9">
        <f>IF(4=0,-'Inputs_Data'!H5,0)</f>
        <v/>
      </c>
      <c r="H41" s="9">
        <f>IF(AND(4&gt;=1,4&lt;='Scenarios_10'!B7),MAX(0,(MAX(0,'Scenarios_10'!D7-'Scenarios_10'!E7/'Scenarios_10'!B7))-IF(AND(4&gt;('Scenarios_10'!B7-4),4&lt;='Scenarios_10'!B7),'Scenarios_10'!F7,0)),0)</f>
        <v/>
      </c>
      <c r="I41" s="9">
        <f>IF(4=0,'Scenarios_10'!E7,0)</f>
        <v/>
      </c>
      <c r="J41" s="9">
        <f>IF(4=0,0,IF('Scenarios_10'!C7="uniform_pct",'Inputs_Data'!E9*(1-(MIN('Scenarios_10'!G7,'Assumptions'!B10))),IF('Scenarios_10'!C7="electricity_only_pct",('Inputs_Data'!C9*(1-(MIN('Scenarios_10'!G7,'Assumptions'!B10))))+'Inputs_Data'!D9,0+('Inputs_Data'!D9*(1-AVERAGE('Assumptions'!B6,'Assumptions'!B7,'Assumptions'!B8,'Assumptions'!B9))))))</f>
        <v/>
      </c>
      <c r="K41" s="9">
        <f>(IF(4=0,-'Inputs_Data'!H5,0))+(IF(AND(4&gt;=1,4&lt;='Scenarios_10'!B7),MAX(0,(MAX(0,'Scenarios_10'!D7-'Scenarios_10'!E7/'Scenarios_10'!B7))-IF(AND(4&gt;('Scenarios_10'!B7-4),4&lt;='Scenarios_10'!B7),'Scenarios_10'!F7,0)),0))+(IF(4=0,'Scenarios_10'!E7,0))-(IF(4=0,0,IF('Scenarios_10'!C7="uniform_pct",'Inputs_Data'!E9*(1-(MIN('Scenarios_10'!G7,'Assumptions'!B10))),IF('Scenarios_10'!C7="electricity_only_pct",('Inputs_Data'!C9*(1-(MIN('Scenarios_10'!G7,'Assumptions'!B10))))+'Inputs_Data'!D9,0+('Inputs_Data'!D9*(1-AVERAGE('Assumptions'!B6,'Assumptions'!B7,'Assumptions'!B8,'Assumptions'!B9)))))))</f>
        <v/>
      </c>
      <c r="L41" s="9">
        <f>(L40)+(K41)</f>
        <v/>
      </c>
    </row>
    <row r="42">
      <c r="A42" s="5" t="n">
        <v>5</v>
      </c>
      <c r="B42" s="9">
        <f>IF(5=0,-'Inputs_Data'!H5,0)</f>
        <v/>
      </c>
      <c r="C42" s="9">
        <f>IF(5=0,0,'Inputs_Data'!B10)</f>
        <v/>
      </c>
      <c r="D42" s="9">
        <f>IF(5=0,0,'Inputs_Data'!E10)</f>
        <v/>
      </c>
      <c r="E42" s="9">
        <f>(IF(5=0,-'Inputs_Data'!H5,0))+(IF(5=0,0,'Inputs_Data'!B10))-(IF(5=0,0,'Inputs_Data'!E10))</f>
        <v/>
      </c>
      <c r="F42" s="9">
        <f>(F41)+(E42)</f>
        <v/>
      </c>
      <c r="G42" s="9">
        <f>IF(5=0,-'Inputs_Data'!H5,0)</f>
        <v/>
      </c>
      <c r="H42" s="9">
        <f>IF(AND(5&gt;=1,5&lt;='Scenarios_10'!B7),MAX(0,(MAX(0,'Scenarios_10'!D7-'Scenarios_10'!E7/'Scenarios_10'!B7))-IF(AND(5&gt;('Scenarios_10'!B7-4),5&lt;='Scenarios_10'!B7),'Scenarios_10'!F7,0)),0)</f>
        <v/>
      </c>
      <c r="I42" s="9">
        <f>IF(5=0,'Scenarios_10'!E7,0)</f>
        <v/>
      </c>
      <c r="J42" s="9">
        <f>IF(5=0,0,IF('Scenarios_10'!C7="uniform_pct",'Inputs_Data'!E10*(1-(MIN('Scenarios_10'!G7,'Assumptions'!B10))),IF('Scenarios_10'!C7="electricity_only_pct",('Inputs_Data'!C10*(1-(MIN('Scenarios_10'!G7,'Assumptions'!B10))))+'Inputs_Data'!D10,0+('Inputs_Data'!D10*(1-AVERAGE('Assumptions'!B6,'Assumptions'!B7,'Assumptions'!B8,'Assumptions'!B9))))))</f>
        <v/>
      </c>
      <c r="K42" s="9">
        <f>(IF(5=0,-'Inputs_Data'!H5,0))+(IF(AND(5&gt;=1,5&lt;='Scenarios_10'!B7),MAX(0,(MAX(0,'Scenarios_10'!D7-'Scenarios_10'!E7/'Scenarios_10'!B7))-IF(AND(5&gt;('Scenarios_10'!B7-4),5&lt;='Scenarios_10'!B7),'Scenarios_10'!F7,0)),0))+(IF(5=0,'Scenarios_10'!E7,0))-(IF(5=0,0,IF('Scenarios_10'!C7="uniform_pct",'Inputs_Data'!E10*(1-(MIN('Scenarios_10'!G7,'Assumptions'!B10))),IF('Scenarios_10'!C7="electricity_only_pct",('Inputs_Data'!C10*(1-(MIN('Scenarios_10'!G7,'Assumptions'!B10))))+'Inputs_Data'!D10,0+('Inputs_Data'!D10*(1-AVERAGE('Assumptions'!B6,'Assumptions'!B7,'Assumptions'!B8,'Assumptions'!B9)))))))</f>
        <v/>
      </c>
      <c r="L42" s="9">
        <f>(L41)+(K42)</f>
        <v/>
      </c>
    </row>
    <row r="43">
      <c r="A43" s="5" t="n">
        <v>6</v>
      </c>
      <c r="B43" s="9">
        <f>IF(6=0,-'Inputs_Data'!H5,0)</f>
        <v/>
      </c>
      <c r="C43" s="9">
        <f>IF(6=0,0,'Inputs_Data'!B11)</f>
        <v/>
      </c>
      <c r="D43" s="9">
        <f>IF(6=0,0,'Inputs_Data'!E11)</f>
        <v/>
      </c>
      <c r="E43" s="9">
        <f>(IF(6=0,-'Inputs_Data'!H5,0))+(IF(6=0,0,'Inputs_Data'!B11))-(IF(6=0,0,'Inputs_Data'!E11))</f>
        <v/>
      </c>
      <c r="F43" s="9">
        <f>(F42)+(E43)</f>
        <v/>
      </c>
      <c r="G43" s="9">
        <f>IF(6=0,-'Inputs_Data'!H5,0)</f>
        <v/>
      </c>
      <c r="H43" s="9">
        <f>IF(AND(6&gt;=1,6&lt;='Scenarios_10'!B7),MAX(0,(MAX(0,'Scenarios_10'!D7-'Scenarios_10'!E7/'Scenarios_10'!B7))-IF(AND(6&gt;('Scenarios_10'!B7-4),6&lt;='Scenarios_10'!B7),'Scenarios_10'!F7,0)),0)</f>
        <v/>
      </c>
      <c r="I43" s="9">
        <f>IF(6=0,'Scenarios_10'!E7,0)</f>
        <v/>
      </c>
      <c r="J43" s="9">
        <f>IF(6=0,0,IF('Scenarios_10'!C7="uniform_pct",'Inputs_Data'!E11*(1-(MIN('Scenarios_10'!G7,'Assumptions'!B10))),IF('Scenarios_10'!C7="electricity_only_pct",('Inputs_Data'!C11*(1-(MIN('Scenarios_10'!G7,'Assumptions'!B10))))+'Inputs_Data'!D11,0+('Inputs_Data'!D11*(1-AVERAGE('Assumptions'!B6,'Assumptions'!B7,'Assumptions'!B8,'Assumptions'!B9))))))</f>
        <v/>
      </c>
      <c r="K43" s="9">
        <f>(IF(6=0,-'Inputs_Data'!H5,0))+(IF(AND(6&gt;=1,6&lt;='Scenarios_10'!B7),MAX(0,(MAX(0,'Scenarios_10'!D7-'Scenarios_10'!E7/'Scenarios_10'!B7))-IF(AND(6&gt;('Scenarios_10'!B7-4),6&lt;='Scenarios_10'!B7),'Scenarios_10'!F7,0)),0))+(IF(6=0,'Scenarios_10'!E7,0))-(IF(6=0,0,IF('Scenarios_10'!C7="uniform_pct",'Inputs_Data'!E11*(1-(MIN('Scenarios_10'!G7,'Assumptions'!B10))),IF('Scenarios_10'!C7="electricity_only_pct",('Inputs_Data'!C11*(1-(MIN('Scenarios_10'!G7,'Assumptions'!B10))))+'Inputs_Data'!D11,0+('Inputs_Data'!D11*(1-AVERAGE('Assumptions'!B6,'Assumptions'!B7,'Assumptions'!B8,'Assumptions'!B9)))))))</f>
        <v/>
      </c>
      <c r="L43" s="9">
        <f>(L42)+(K43)</f>
        <v/>
      </c>
    </row>
    <row r="44">
      <c r="A44" s="5" t="n">
        <v>7</v>
      </c>
      <c r="B44" s="9">
        <f>IF(7=0,-'Inputs_Data'!H5,0)</f>
        <v/>
      </c>
      <c r="C44" s="9">
        <f>IF(7=0,0,'Inputs_Data'!B12)</f>
        <v/>
      </c>
      <c r="D44" s="9">
        <f>IF(7=0,0,'Inputs_Data'!E12)</f>
        <v/>
      </c>
      <c r="E44" s="9">
        <f>(IF(7=0,-'Inputs_Data'!H5,0))+(IF(7=0,0,'Inputs_Data'!B12))-(IF(7=0,0,'Inputs_Data'!E12))</f>
        <v/>
      </c>
      <c r="F44" s="9">
        <f>(F43)+(E44)</f>
        <v/>
      </c>
      <c r="G44" s="9">
        <f>IF(7=0,-'Inputs_Data'!H5,0)</f>
        <v/>
      </c>
      <c r="H44" s="9">
        <f>IF(AND(7&gt;=1,7&lt;='Scenarios_10'!B7),MAX(0,(MAX(0,'Scenarios_10'!D7-'Scenarios_10'!E7/'Scenarios_10'!B7))-IF(AND(7&gt;('Scenarios_10'!B7-4),7&lt;='Scenarios_10'!B7),'Scenarios_10'!F7,0)),0)</f>
        <v/>
      </c>
      <c r="I44" s="9">
        <f>IF(7=0,'Scenarios_10'!E7,0)</f>
        <v/>
      </c>
      <c r="J44" s="9">
        <f>IF(7=0,0,IF('Scenarios_10'!C7="uniform_pct",'Inputs_Data'!E12*(1-(MIN('Scenarios_10'!G7,'Assumptions'!B10))),IF('Scenarios_10'!C7="electricity_only_pct",('Inputs_Data'!C12*(1-(MIN('Scenarios_10'!G7,'Assumptions'!B10))))+'Inputs_Data'!D12,0+('Inputs_Data'!D12*(1-AVERAGE('Assumptions'!B6,'Assumptions'!B7,'Assumptions'!B8,'Assumptions'!B9))))))</f>
        <v/>
      </c>
      <c r="K44" s="9">
        <f>(IF(7=0,-'Inputs_Data'!H5,0))+(IF(AND(7&gt;=1,7&lt;='Scenarios_10'!B7),MAX(0,(MAX(0,'Scenarios_10'!D7-'Scenarios_10'!E7/'Scenarios_10'!B7))-IF(AND(7&gt;('Scenarios_10'!B7-4),7&lt;='Scenarios_10'!B7),'Scenarios_10'!F7,0)),0))+(IF(7=0,'Scenarios_10'!E7,0))-(IF(7=0,0,IF('Scenarios_10'!C7="uniform_pct",'Inputs_Data'!E12*(1-(MIN('Scenarios_10'!G7,'Assumptions'!B10))),IF('Scenarios_10'!C7="electricity_only_pct",('Inputs_Data'!C12*(1-(MIN('Scenarios_10'!G7,'Assumptions'!B10))))+'Inputs_Data'!D12,0+('Inputs_Data'!D12*(1-AVERAGE('Assumptions'!B6,'Assumptions'!B7,'Assumptions'!B8,'Assumptions'!B9)))))))</f>
        <v/>
      </c>
      <c r="L44" s="9">
        <f>(L43)+(K44)</f>
        <v/>
      </c>
    </row>
    <row r="45">
      <c r="A45" s="5" t="n">
        <v>8</v>
      </c>
      <c r="B45" s="9">
        <f>IF(8=0,-'Inputs_Data'!H5,0)</f>
        <v/>
      </c>
      <c r="C45" s="9">
        <f>IF(8=0,0,'Inputs_Data'!B13)</f>
        <v/>
      </c>
      <c r="D45" s="9">
        <f>IF(8=0,0,'Inputs_Data'!E13)</f>
        <v/>
      </c>
      <c r="E45" s="9">
        <f>(IF(8=0,-'Inputs_Data'!H5,0))+(IF(8=0,0,'Inputs_Data'!B13))-(IF(8=0,0,'Inputs_Data'!E13))</f>
        <v/>
      </c>
      <c r="F45" s="9">
        <f>(F44)+(E45)</f>
        <v/>
      </c>
      <c r="G45" s="9">
        <f>IF(8=0,-'Inputs_Data'!H5,0)</f>
        <v/>
      </c>
      <c r="H45" s="9">
        <f>IF(AND(8&gt;=1,8&lt;='Scenarios_10'!B7),MAX(0,(MAX(0,'Scenarios_10'!D7-'Scenarios_10'!E7/'Scenarios_10'!B7))-IF(AND(8&gt;('Scenarios_10'!B7-4),8&lt;='Scenarios_10'!B7),'Scenarios_10'!F7,0)),0)</f>
        <v/>
      </c>
      <c r="I45" s="9">
        <f>IF(8=0,'Scenarios_10'!E7,0)</f>
        <v/>
      </c>
      <c r="J45" s="9">
        <f>IF(8=0,0,IF('Scenarios_10'!C7="uniform_pct",'Inputs_Data'!E13*(1-(MIN('Scenarios_10'!G7,'Assumptions'!B10))),IF('Scenarios_10'!C7="electricity_only_pct",('Inputs_Data'!C13*(1-(MIN('Scenarios_10'!G7,'Assumptions'!B10))))+'Inputs_Data'!D13,0+('Inputs_Data'!D13*(1-AVERAGE('Assumptions'!B6,'Assumptions'!B7,'Assumptions'!B8,'Assumptions'!B9))))))</f>
        <v/>
      </c>
      <c r="K45" s="9">
        <f>(IF(8=0,-'Inputs_Data'!H5,0))+(IF(AND(8&gt;=1,8&lt;='Scenarios_10'!B7),MAX(0,(MAX(0,'Scenarios_10'!D7-'Scenarios_10'!E7/'Scenarios_10'!B7))-IF(AND(8&gt;('Scenarios_10'!B7-4),8&lt;='Scenarios_10'!B7),'Scenarios_10'!F7,0)),0))+(IF(8=0,'Scenarios_10'!E7,0))-(IF(8=0,0,IF('Scenarios_10'!C7="uniform_pct",'Inputs_Data'!E13*(1-(MIN('Scenarios_10'!G7,'Assumptions'!B10))),IF('Scenarios_10'!C7="electricity_only_pct",('Inputs_Data'!C13*(1-(MIN('Scenarios_10'!G7,'Assumptions'!B10))))+'Inputs_Data'!D13,0+('Inputs_Data'!D13*(1-AVERAGE('Assumptions'!B6,'Assumptions'!B7,'Assumptions'!B8,'Assumptions'!B9)))))))</f>
        <v/>
      </c>
      <c r="L45" s="9">
        <f>(L44)+(K45)</f>
        <v/>
      </c>
    </row>
    <row r="46">
      <c r="A46" s="5" t="n">
        <v>9</v>
      </c>
      <c r="B46" s="9">
        <f>IF(9=0,-'Inputs_Data'!H5,0)</f>
        <v/>
      </c>
      <c r="C46" s="9">
        <f>IF(9=0,0,'Inputs_Data'!B14)</f>
        <v/>
      </c>
      <c r="D46" s="9">
        <f>IF(9=0,0,'Inputs_Data'!E14)</f>
        <v/>
      </c>
      <c r="E46" s="9">
        <f>(IF(9=0,-'Inputs_Data'!H5,0))+(IF(9=0,0,'Inputs_Data'!B14))-(IF(9=0,0,'Inputs_Data'!E14))</f>
        <v/>
      </c>
      <c r="F46" s="9">
        <f>(F45)+(E46)</f>
        <v/>
      </c>
      <c r="G46" s="9">
        <f>IF(9=0,-'Inputs_Data'!H5,0)</f>
        <v/>
      </c>
      <c r="H46" s="9">
        <f>IF(AND(9&gt;=1,9&lt;='Scenarios_10'!B7),MAX(0,(MAX(0,'Scenarios_10'!D7-'Scenarios_10'!E7/'Scenarios_10'!B7))-IF(AND(9&gt;('Scenarios_10'!B7-4),9&lt;='Scenarios_10'!B7),'Scenarios_10'!F7,0)),0)</f>
        <v/>
      </c>
      <c r="I46" s="9">
        <f>IF(9=0,'Scenarios_10'!E7,0)</f>
        <v/>
      </c>
      <c r="J46" s="9">
        <f>IF(9=0,0,IF('Scenarios_10'!C7="uniform_pct",'Inputs_Data'!E14*(1-(MIN('Scenarios_10'!G7,'Assumptions'!B10))),IF('Scenarios_10'!C7="electricity_only_pct",('Inputs_Data'!C14*(1-(MIN('Scenarios_10'!G7,'Assumptions'!B10))))+'Inputs_Data'!D14,0+('Inputs_Data'!D14*(1-AVERAGE('Assumptions'!B6,'Assumptions'!B7,'Assumptions'!B8,'Assumptions'!B9))))))</f>
        <v/>
      </c>
      <c r="K46" s="9">
        <f>(IF(9=0,-'Inputs_Data'!H5,0))+(IF(AND(9&gt;=1,9&lt;='Scenarios_10'!B7),MAX(0,(MAX(0,'Scenarios_10'!D7-'Scenarios_10'!E7/'Scenarios_10'!B7))-IF(AND(9&gt;('Scenarios_10'!B7-4),9&lt;='Scenarios_10'!B7),'Scenarios_10'!F7,0)),0))+(IF(9=0,'Scenarios_10'!E7,0))-(IF(9=0,0,IF('Scenarios_10'!C7="uniform_pct",'Inputs_Data'!E14*(1-(MIN('Scenarios_10'!G7,'Assumptions'!B10))),IF('Scenarios_10'!C7="electricity_only_pct",('Inputs_Data'!C14*(1-(MIN('Scenarios_10'!G7,'Assumptions'!B10))))+'Inputs_Data'!D14,0+('Inputs_Data'!D14*(1-AVERAGE('Assumptions'!B6,'Assumptions'!B7,'Assumptions'!B8,'Assumptions'!B9)))))))</f>
        <v/>
      </c>
      <c r="L46" s="9">
        <f>(L45)+(K46)</f>
        <v/>
      </c>
    </row>
    <row r="47">
      <c r="A47" s="5" t="n">
        <v>10</v>
      </c>
      <c r="B47" s="9">
        <f>IF(10=0,-'Inputs_Data'!H5,0)</f>
        <v/>
      </c>
      <c r="C47" s="9">
        <f>IF(10=0,0,'Inputs_Data'!B15)</f>
        <v/>
      </c>
      <c r="D47" s="9">
        <f>IF(10=0,0,'Inputs_Data'!E15)</f>
        <v/>
      </c>
      <c r="E47" s="9">
        <f>(IF(10=0,-'Inputs_Data'!H5,0))+(IF(10=0,0,'Inputs_Data'!B15))-(IF(10=0,0,'Inputs_Data'!E15))</f>
        <v/>
      </c>
      <c r="F47" s="9">
        <f>(F46)+(E47)</f>
        <v/>
      </c>
      <c r="G47" s="9">
        <f>IF(10=0,-'Inputs_Data'!H5,0)</f>
        <v/>
      </c>
      <c r="H47" s="9">
        <f>IF(AND(10&gt;=1,10&lt;='Scenarios_10'!B7),MAX(0,(MAX(0,'Scenarios_10'!D7-'Scenarios_10'!E7/'Scenarios_10'!B7))-IF(AND(10&gt;('Scenarios_10'!B7-4),10&lt;='Scenarios_10'!B7),'Scenarios_10'!F7,0)),0)</f>
        <v/>
      </c>
      <c r="I47" s="9">
        <f>IF(10=0,'Scenarios_10'!E7,0)</f>
        <v/>
      </c>
      <c r="J47" s="9">
        <f>IF(10=0,0,IF('Scenarios_10'!C7="uniform_pct",'Inputs_Data'!E15*(1-(MIN('Scenarios_10'!G7,'Assumptions'!B10))),IF('Scenarios_10'!C7="electricity_only_pct",('Inputs_Data'!C15*(1-(MIN('Scenarios_10'!G7,'Assumptions'!B10))))+'Inputs_Data'!D15,0+('Inputs_Data'!D15*(1-AVERAGE('Assumptions'!B6,'Assumptions'!B7,'Assumptions'!B8,'Assumptions'!B9))))))</f>
        <v/>
      </c>
      <c r="K47" s="9">
        <f>(IF(10=0,-'Inputs_Data'!H5,0))+(IF(AND(10&gt;=1,10&lt;='Scenarios_10'!B7),MAX(0,(MAX(0,'Scenarios_10'!D7-'Scenarios_10'!E7/'Scenarios_10'!B7))-IF(AND(10&gt;('Scenarios_10'!B7-4),10&lt;='Scenarios_10'!B7),'Scenarios_10'!F7,0)),0))+(IF(10=0,'Scenarios_10'!E7,0))-(IF(10=0,0,IF('Scenarios_10'!C7="uniform_pct",'Inputs_Data'!E15*(1-(MIN('Scenarios_10'!G7,'Assumptions'!B10))),IF('Scenarios_10'!C7="electricity_only_pct",('Inputs_Data'!C15*(1-(MIN('Scenarios_10'!G7,'Assumptions'!B10))))+'Inputs_Data'!D15,0+('Inputs_Data'!D15*(1-AVERAGE('Assumptions'!B6,'Assumptions'!B7,'Assumptions'!B8,'Assumptions'!B9)))))))</f>
        <v/>
      </c>
      <c r="L47" s="9">
        <f>(L46)+(K47)</f>
        <v/>
      </c>
    </row>
    <row r="50">
      <c r="A50" s="6" t="inlineStr">
        <is>
          <t>Tier: ='Scenarios_10'!A8</t>
        </is>
      </c>
    </row>
    <row r="51">
      <c r="A51" s="4" t="inlineStr">
        <is>
          <t>year</t>
        </is>
      </c>
      <c r="B51" s="4" t="inlineStr">
        <is>
          <t>trust_capex</t>
        </is>
      </c>
      <c r="C51" s="4" t="inlineStr">
        <is>
          <t>trust_fee</t>
        </is>
      </c>
      <c r="D51" s="4" t="inlineStr">
        <is>
          <t>trust_cash_opex</t>
        </is>
      </c>
      <c r="E51" s="4" t="inlineStr">
        <is>
          <t>trust_net_cf</t>
        </is>
      </c>
      <c r="F51" s="4" t="inlineStr">
        <is>
          <t>trust_cum_cf</t>
        </is>
      </c>
      <c r="G51" s="4" t="inlineStr">
        <is>
          <t>laas_capex</t>
        </is>
      </c>
      <c r="H51" s="4" t="inlineStr">
        <is>
          <t>laas_fee</t>
        </is>
      </c>
      <c r="I51" s="4" t="inlineStr">
        <is>
          <t>laas_upfront</t>
        </is>
      </c>
      <c r="J51" s="4" t="inlineStr">
        <is>
          <t>laas_cash_opex</t>
        </is>
      </c>
      <c r="K51" s="4" t="inlineStr">
        <is>
          <t>laas_net_cf</t>
        </is>
      </c>
      <c r="L51" s="4" t="inlineStr">
        <is>
          <t>laas_cum_cf</t>
        </is>
      </c>
    </row>
    <row r="52">
      <c r="A52" s="5" t="n">
        <v>0</v>
      </c>
      <c r="B52" s="9">
        <f>IF(0=0,-'Inputs_Data'!H5,0)</f>
        <v/>
      </c>
      <c r="C52" s="9">
        <f>IF(0=0,0,'Inputs_Data'!B5)</f>
        <v/>
      </c>
      <c r="D52" s="9">
        <f>IF(0=0,0,'Inputs_Data'!E5)</f>
        <v/>
      </c>
      <c r="E52" s="9">
        <f>(IF(0=0,-'Inputs_Data'!H5,0))+(IF(0=0,0,'Inputs_Data'!B5))-(IF(0=0,0,'Inputs_Data'!E5))</f>
        <v/>
      </c>
      <c r="F52" s="9">
        <f>(0)+(E52)</f>
        <v/>
      </c>
      <c r="G52" s="9">
        <f>IF(0=0,-'Inputs_Data'!H5,0)</f>
        <v/>
      </c>
      <c r="H52" s="9">
        <f>IF(AND(0&gt;=1,0&lt;='Scenarios_10'!B8),MAX(0,(MAX(0,'Scenarios_10'!D8-'Scenarios_10'!E8/'Scenarios_10'!B8))-IF(AND(0&gt;('Scenarios_10'!B8-4),0&lt;='Scenarios_10'!B8),'Scenarios_10'!F8,0)),0)</f>
        <v/>
      </c>
      <c r="I52" s="9">
        <f>IF(0=0,'Scenarios_10'!E8,0)</f>
        <v/>
      </c>
      <c r="J52" s="9">
        <f>IF(0=0,0,IF('Scenarios_10'!C8="uniform_pct",'Inputs_Data'!E5*(1-(MIN('Scenarios_10'!G8,'Assumptions'!B10))),IF('Scenarios_10'!C8="electricity_only_pct",('Inputs_Data'!C5*(1-(MIN('Scenarios_10'!G8,'Assumptions'!B10))))+'Inputs_Data'!D5,0+('Inputs_Data'!D5*(1-AVERAGE('Assumptions'!B6,'Assumptions'!B7,'Assumptions'!B8,'Assumptions'!B9))))))</f>
        <v/>
      </c>
      <c r="K52" s="9">
        <f>(IF(0=0,-'Inputs_Data'!H5,0))+(IF(AND(0&gt;=1,0&lt;='Scenarios_10'!B8),MAX(0,(MAX(0,'Scenarios_10'!D8-'Scenarios_10'!E8/'Scenarios_10'!B8))-IF(AND(0&gt;('Scenarios_10'!B8-4),0&lt;='Scenarios_10'!B8),'Scenarios_10'!F8,0)),0))+(IF(0=0,'Scenarios_10'!E8,0))-(IF(0=0,0,IF('Scenarios_10'!C8="uniform_pct",'Inputs_Data'!E5*(1-(MIN('Scenarios_10'!G8,'Assumptions'!B10))),IF('Scenarios_10'!C8="electricity_only_pct",('Inputs_Data'!C5*(1-(MIN('Scenarios_10'!G8,'Assumptions'!B10))))+'Inputs_Data'!D5,0+('Inputs_Data'!D5*(1-AVERAGE('Assumptions'!B6,'Assumptions'!B7,'Assumptions'!B8,'Assumptions'!B9)))))))</f>
        <v/>
      </c>
      <c r="L52" s="9">
        <f>(0)+(K52)</f>
        <v/>
      </c>
    </row>
    <row r="53">
      <c r="A53" s="5" t="n">
        <v>1</v>
      </c>
      <c r="B53" s="9">
        <f>IF(1=0,-'Inputs_Data'!H5,0)</f>
        <v/>
      </c>
      <c r="C53" s="9">
        <f>IF(1=0,0,'Inputs_Data'!B6)</f>
        <v/>
      </c>
      <c r="D53" s="9">
        <f>IF(1=0,0,'Inputs_Data'!E6)</f>
        <v/>
      </c>
      <c r="E53" s="9">
        <f>(IF(1=0,-'Inputs_Data'!H5,0))+(IF(1=0,0,'Inputs_Data'!B6))-(IF(1=0,0,'Inputs_Data'!E6))</f>
        <v/>
      </c>
      <c r="F53" s="9">
        <f>(F52)+(E53)</f>
        <v/>
      </c>
      <c r="G53" s="9">
        <f>IF(1=0,-'Inputs_Data'!H5,0)</f>
        <v/>
      </c>
      <c r="H53" s="9">
        <f>IF(AND(1&gt;=1,1&lt;='Scenarios_10'!B8),MAX(0,(MAX(0,'Scenarios_10'!D8-'Scenarios_10'!E8/'Scenarios_10'!B8))-IF(AND(1&gt;('Scenarios_10'!B8-4),1&lt;='Scenarios_10'!B8),'Scenarios_10'!F8,0)),0)</f>
        <v/>
      </c>
      <c r="I53" s="9">
        <f>IF(1=0,'Scenarios_10'!E8,0)</f>
        <v/>
      </c>
      <c r="J53" s="9">
        <f>IF(1=0,0,IF('Scenarios_10'!C8="uniform_pct",'Inputs_Data'!E6*(1-(MIN('Scenarios_10'!G8,'Assumptions'!B10))),IF('Scenarios_10'!C8="electricity_only_pct",('Inputs_Data'!C6*(1-(MIN('Scenarios_10'!G8,'Assumptions'!B10))))+'Inputs_Data'!D6,0+('Inputs_Data'!D6*(1-AVERAGE('Assumptions'!B6,'Assumptions'!B7,'Assumptions'!B8,'Assumptions'!B9))))))</f>
        <v/>
      </c>
      <c r="K53" s="9">
        <f>(IF(1=0,-'Inputs_Data'!H5,0))+(IF(AND(1&gt;=1,1&lt;='Scenarios_10'!B8),MAX(0,(MAX(0,'Scenarios_10'!D8-'Scenarios_10'!E8/'Scenarios_10'!B8))-IF(AND(1&gt;('Scenarios_10'!B8-4),1&lt;='Scenarios_10'!B8),'Scenarios_10'!F8,0)),0))+(IF(1=0,'Scenarios_10'!E8,0))-(IF(1=0,0,IF('Scenarios_10'!C8="uniform_pct",'Inputs_Data'!E6*(1-(MIN('Scenarios_10'!G8,'Assumptions'!B10))),IF('Scenarios_10'!C8="electricity_only_pct",('Inputs_Data'!C6*(1-(MIN('Scenarios_10'!G8,'Assumptions'!B10))))+'Inputs_Data'!D6,0+('Inputs_Data'!D6*(1-AVERAGE('Assumptions'!B6,'Assumptions'!B7,'Assumptions'!B8,'Assumptions'!B9)))))))</f>
        <v/>
      </c>
      <c r="L53" s="9">
        <f>(L52)+(K53)</f>
        <v/>
      </c>
    </row>
    <row r="54">
      <c r="A54" s="5" t="n">
        <v>2</v>
      </c>
      <c r="B54" s="9">
        <f>IF(2=0,-'Inputs_Data'!H5,0)</f>
        <v/>
      </c>
      <c r="C54" s="9">
        <f>IF(2=0,0,'Inputs_Data'!B7)</f>
        <v/>
      </c>
      <c r="D54" s="9">
        <f>IF(2=0,0,'Inputs_Data'!E7)</f>
        <v/>
      </c>
      <c r="E54" s="9">
        <f>(IF(2=0,-'Inputs_Data'!H5,0))+(IF(2=0,0,'Inputs_Data'!B7))-(IF(2=0,0,'Inputs_Data'!E7))</f>
        <v/>
      </c>
      <c r="F54" s="9">
        <f>(F53)+(E54)</f>
        <v/>
      </c>
      <c r="G54" s="9">
        <f>IF(2=0,-'Inputs_Data'!H5,0)</f>
        <v/>
      </c>
      <c r="H54" s="9">
        <f>IF(AND(2&gt;=1,2&lt;='Scenarios_10'!B8),MAX(0,(MAX(0,'Scenarios_10'!D8-'Scenarios_10'!E8/'Scenarios_10'!B8))-IF(AND(2&gt;('Scenarios_10'!B8-4),2&lt;='Scenarios_10'!B8),'Scenarios_10'!F8,0)),0)</f>
        <v/>
      </c>
      <c r="I54" s="9">
        <f>IF(2=0,'Scenarios_10'!E8,0)</f>
        <v/>
      </c>
      <c r="J54" s="9">
        <f>IF(2=0,0,IF('Scenarios_10'!C8="uniform_pct",'Inputs_Data'!E7*(1-(MIN('Scenarios_10'!G8,'Assumptions'!B10))),IF('Scenarios_10'!C8="electricity_only_pct",('Inputs_Data'!C7*(1-(MIN('Scenarios_10'!G8,'Assumptions'!B10))))+'Inputs_Data'!D7,0+('Inputs_Data'!D7*(1-AVERAGE('Assumptions'!B6,'Assumptions'!B7,'Assumptions'!B8,'Assumptions'!B9))))))</f>
        <v/>
      </c>
      <c r="K54" s="9">
        <f>(IF(2=0,-'Inputs_Data'!H5,0))+(IF(AND(2&gt;=1,2&lt;='Scenarios_10'!B8),MAX(0,(MAX(0,'Scenarios_10'!D8-'Scenarios_10'!E8/'Scenarios_10'!B8))-IF(AND(2&gt;('Scenarios_10'!B8-4),2&lt;='Scenarios_10'!B8),'Scenarios_10'!F8,0)),0))+(IF(2=0,'Scenarios_10'!E8,0))-(IF(2=0,0,IF('Scenarios_10'!C8="uniform_pct",'Inputs_Data'!E7*(1-(MIN('Scenarios_10'!G8,'Assumptions'!B10))),IF('Scenarios_10'!C8="electricity_only_pct",('Inputs_Data'!C7*(1-(MIN('Scenarios_10'!G8,'Assumptions'!B10))))+'Inputs_Data'!D7,0+('Inputs_Data'!D7*(1-AVERAGE('Assumptions'!B6,'Assumptions'!B7,'Assumptions'!B8,'Assumptions'!B9)))))))</f>
        <v/>
      </c>
      <c r="L54" s="9">
        <f>(L53)+(K54)</f>
        <v/>
      </c>
    </row>
    <row r="55">
      <c r="A55" s="5" t="n">
        <v>3</v>
      </c>
      <c r="B55" s="9">
        <f>IF(3=0,-'Inputs_Data'!H5,0)</f>
        <v/>
      </c>
      <c r="C55" s="9">
        <f>IF(3=0,0,'Inputs_Data'!B8)</f>
        <v/>
      </c>
      <c r="D55" s="9">
        <f>IF(3=0,0,'Inputs_Data'!E8)</f>
        <v/>
      </c>
      <c r="E55" s="9">
        <f>(IF(3=0,-'Inputs_Data'!H5,0))+(IF(3=0,0,'Inputs_Data'!B8))-(IF(3=0,0,'Inputs_Data'!E8))</f>
        <v/>
      </c>
      <c r="F55" s="9">
        <f>(F54)+(E55)</f>
        <v/>
      </c>
      <c r="G55" s="9">
        <f>IF(3=0,-'Inputs_Data'!H5,0)</f>
        <v/>
      </c>
      <c r="H55" s="9">
        <f>IF(AND(3&gt;=1,3&lt;='Scenarios_10'!B8),MAX(0,(MAX(0,'Scenarios_10'!D8-'Scenarios_10'!E8/'Scenarios_10'!B8))-IF(AND(3&gt;('Scenarios_10'!B8-4),3&lt;='Scenarios_10'!B8),'Scenarios_10'!F8,0)),0)</f>
        <v/>
      </c>
      <c r="I55" s="9">
        <f>IF(3=0,'Scenarios_10'!E8,0)</f>
        <v/>
      </c>
      <c r="J55" s="9">
        <f>IF(3=0,0,IF('Scenarios_10'!C8="uniform_pct",'Inputs_Data'!E8*(1-(MIN('Scenarios_10'!G8,'Assumptions'!B10))),IF('Scenarios_10'!C8="electricity_only_pct",('Inputs_Data'!C8*(1-(MIN('Scenarios_10'!G8,'Assumptions'!B10))))+'Inputs_Data'!D8,0+('Inputs_Data'!D8*(1-AVERAGE('Assumptions'!B6,'Assumptions'!B7,'Assumptions'!B8,'Assumptions'!B9))))))</f>
        <v/>
      </c>
      <c r="K55" s="9">
        <f>(IF(3=0,-'Inputs_Data'!H5,0))+(IF(AND(3&gt;=1,3&lt;='Scenarios_10'!B8),MAX(0,(MAX(0,'Scenarios_10'!D8-'Scenarios_10'!E8/'Scenarios_10'!B8))-IF(AND(3&gt;('Scenarios_10'!B8-4),3&lt;='Scenarios_10'!B8),'Scenarios_10'!F8,0)),0))+(IF(3=0,'Scenarios_10'!E8,0))-(IF(3=0,0,IF('Scenarios_10'!C8="uniform_pct",'Inputs_Data'!E8*(1-(MIN('Scenarios_10'!G8,'Assumptions'!B10))),IF('Scenarios_10'!C8="electricity_only_pct",('Inputs_Data'!C8*(1-(MIN('Scenarios_10'!G8,'Assumptions'!B10))))+'Inputs_Data'!D8,0+('Inputs_Data'!D8*(1-AVERAGE('Assumptions'!B6,'Assumptions'!B7,'Assumptions'!B8,'Assumptions'!B9)))))))</f>
        <v/>
      </c>
      <c r="L55" s="9">
        <f>(L54)+(K55)</f>
        <v/>
      </c>
    </row>
    <row r="56">
      <c r="A56" s="5" t="n">
        <v>4</v>
      </c>
      <c r="B56" s="9">
        <f>IF(4=0,-'Inputs_Data'!H5,0)</f>
        <v/>
      </c>
      <c r="C56" s="9">
        <f>IF(4=0,0,'Inputs_Data'!B9)</f>
        <v/>
      </c>
      <c r="D56" s="9">
        <f>IF(4=0,0,'Inputs_Data'!E9)</f>
        <v/>
      </c>
      <c r="E56" s="9">
        <f>(IF(4=0,-'Inputs_Data'!H5,0))+(IF(4=0,0,'Inputs_Data'!B9))-(IF(4=0,0,'Inputs_Data'!E9))</f>
        <v/>
      </c>
      <c r="F56" s="9">
        <f>(F55)+(E56)</f>
        <v/>
      </c>
      <c r="G56" s="9">
        <f>IF(4=0,-'Inputs_Data'!H5,0)</f>
        <v/>
      </c>
      <c r="H56" s="9">
        <f>IF(AND(4&gt;=1,4&lt;='Scenarios_10'!B8),MAX(0,(MAX(0,'Scenarios_10'!D8-'Scenarios_10'!E8/'Scenarios_10'!B8))-IF(AND(4&gt;('Scenarios_10'!B8-4),4&lt;='Scenarios_10'!B8),'Scenarios_10'!F8,0)),0)</f>
        <v/>
      </c>
      <c r="I56" s="9">
        <f>IF(4=0,'Scenarios_10'!E8,0)</f>
        <v/>
      </c>
      <c r="J56" s="9">
        <f>IF(4=0,0,IF('Scenarios_10'!C8="uniform_pct",'Inputs_Data'!E9*(1-(MIN('Scenarios_10'!G8,'Assumptions'!B10))),IF('Scenarios_10'!C8="electricity_only_pct",('Inputs_Data'!C9*(1-(MIN('Scenarios_10'!G8,'Assumptions'!B10))))+'Inputs_Data'!D9,0+('Inputs_Data'!D9*(1-AVERAGE('Assumptions'!B6,'Assumptions'!B7,'Assumptions'!B8,'Assumptions'!B9))))))</f>
        <v/>
      </c>
      <c r="K56" s="9">
        <f>(IF(4=0,-'Inputs_Data'!H5,0))+(IF(AND(4&gt;=1,4&lt;='Scenarios_10'!B8),MAX(0,(MAX(0,'Scenarios_10'!D8-'Scenarios_10'!E8/'Scenarios_10'!B8))-IF(AND(4&gt;('Scenarios_10'!B8-4),4&lt;='Scenarios_10'!B8),'Scenarios_10'!F8,0)),0))+(IF(4=0,'Scenarios_10'!E8,0))-(IF(4=0,0,IF('Scenarios_10'!C8="uniform_pct",'Inputs_Data'!E9*(1-(MIN('Scenarios_10'!G8,'Assumptions'!B10))),IF('Scenarios_10'!C8="electricity_only_pct",('Inputs_Data'!C9*(1-(MIN('Scenarios_10'!G8,'Assumptions'!B10))))+'Inputs_Data'!D9,0+('Inputs_Data'!D9*(1-AVERAGE('Assumptions'!B6,'Assumptions'!B7,'Assumptions'!B8,'Assumptions'!B9)))))))</f>
        <v/>
      </c>
      <c r="L56" s="9">
        <f>(L55)+(K56)</f>
        <v/>
      </c>
    </row>
    <row r="57">
      <c r="A57" s="5" t="n">
        <v>5</v>
      </c>
      <c r="B57" s="9">
        <f>IF(5=0,-'Inputs_Data'!H5,0)</f>
        <v/>
      </c>
      <c r="C57" s="9">
        <f>IF(5=0,0,'Inputs_Data'!B10)</f>
        <v/>
      </c>
      <c r="D57" s="9">
        <f>IF(5=0,0,'Inputs_Data'!E10)</f>
        <v/>
      </c>
      <c r="E57" s="9">
        <f>(IF(5=0,-'Inputs_Data'!H5,0))+(IF(5=0,0,'Inputs_Data'!B10))-(IF(5=0,0,'Inputs_Data'!E10))</f>
        <v/>
      </c>
      <c r="F57" s="9">
        <f>(F56)+(E57)</f>
        <v/>
      </c>
      <c r="G57" s="9">
        <f>IF(5=0,-'Inputs_Data'!H5,0)</f>
        <v/>
      </c>
      <c r="H57" s="9">
        <f>IF(AND(5&gt;=1,5&lt;='Scenarios_10'!B8),MAX(0,(MAX(0,'Scenarios_10'!D8-'Scenarios_10'!E8/'Scenarios_10'!B8))-IF(AND(5&gt;('Scenarios_10'!B8-4),5&lt;='Scenarios_10'!B8),'Scenarios_10'!F8,0)),0)</f>
        <v/>
      </c>
      <c r="I57" s="9">
        <f>IF(5=0,'Scenarios_10'!E8,0)</f>
        <v/>
      </c>
      <c r="J57" s="9">
        <f>IF(5=0,0,IF('Scenarios_10'!C8="uniform_pct",'Inputs_Data'!E10*(1-(MIN('Scenarios_10'!G8,'Assumptions'!B10))),IF('Scenarios_10'!C8="electricity_only_pct",('Inputs_Data'!C10*(1-(MIN('Scenarios_10'!G8,'Assumptions'!B10))))+'Inputs_Data'!D10,0+('Inputs_Data'!D10*(1-AVERAGE('Assumptions'!B6,'Assumptions'!B7,'Assumptions'!B8,'Assumptions'!B9))))))</f>
        <v/>
      </c>
      <c r="K57" s="9">
        <f>(IF(5=0,-'Inputs_Data'!H5,0))+(IF(AND(5&gt;=1,5&lt;='Scenarios_10'!B8),MAX(0,(MAX(0,'Scenarios_10'!D8-'Scenarios_10'!E8/'Scenarios_10'!B8))-IF(AND(5&gt;('Scenarios_10'!B8-4),5&lt;='Scenarios_10'!B8),'Scenarios_10'!F8,0)),0))+(IF(5=0,'Scenarios_10'!E8,0))-(IF(5=0,0,IF('Scenarios_10'!C8="uniform_pct",'Inputs_Data'!E10*(1-(MIN('Scenarios_10'!G8,'Assumptions'!B10))),IF('Scenarios_10'!C8="electricity_only_pct",('Inputs_Data'!C10*(1-(MIN('Scenarios_10'!G8,'Assumptions'!B10))))+'Inputs_Data'!D10,0+('Inputs_Data'!D10*(1-AVERAGE('Assumptions'!B6,'Assumptions'!B7,'Assumptions'!B8,'Assumptions'!B9)))))))</f>
        <v/>
      </c>
      <c r="L57" s="9">
        <f>(L56)+(K57)</f>
        <v/>
      </c>
    </row>
    <row r="58">
      <c r="A58" s="5" t="n">
        <v>6</v>
      </c>
      <c r="B58" s="9">
        <f>IF(6=0,-'Inputs_Data'!H5,0)</f>
        <v/>
      </c>
      <c r="C58" s="9">
        <f>IF(6=0,0,'Inputs_Data'!B11)</f>
        <v/>
      </c>
      <c r="D58" s="9">
        <f>IF(6=0,0,'Inputs_Data'!E11)</f>
        <v/>
      </c>
      <c r="E58" s="9">
        <f>(IF(6=0,-'Inputs_Data'!H5,0))+(IF(6=0,0,'Inputs_Data'!B11))-(IF(6=0,0,'Inputs_Data'!E11))</f>
        <v/>
      </c>
      <c r="F58" s="9">
        <f>(F57)+(E58)</f>
        <v/>
      </c>
      <c r="G58" s="9">
        <f>IF(6=0,-'Inputs_Data'!H5,0)</f>
        <v/>
      </c>
      <c r="H58" s="9">
        <f>IF(AND(6&gt;=1,6&lt;='Scenarios_10'!B8),MAX(0,(MAX(0,'Scenarios_10'!D8-'Scenarios_10'!E8/'Scenarios_10'!B8))-IF(AND(6&gt;('Scenarios_10'!B8-4),6&lt;='Scenarios_10'!B8),'Scenarios_10'!F8,0)),0)</f>
        <v/>
      </c>
      <c r="I58" s="9">
        <f>IF(6=0,'Scenarios_10'!E8,0)</f>
        <v/>
      </c>
      <c r="J58" s="9">
        <f>IF(6=0,0,IF('Scenarios_10'!C8="uniform_pct",'Inputs_Data'!E11*(1-(MIN('Scenarios_10'!G8,'Assumptions'!B10))),IF('Scenarios_10'!C8="electricity_only_pct",('Inputs_Data'!C11*(1-(MIN('Scenarios_10'!G8,'Assumptions'!B10))))+'Inputs_Data'!D11,0+('Inputs_Data'!D11*(1-AVERAGE('Assumptions'!B6,'Assumptions'!B7,'Assumptions'!B8,'Assumptions'!B9))))))</f>
        <v/>
      </c>
      <c r="K58" s="9">
        <f>(IF(6=0,-'Inputs_Data'!H5,0))+(IF(AND(6&gt;=1,6&lt;='Scenarios_10'!B8),MAX(0,(MAX(0,'Scenarios_10'!D8-'Scenarios_10'!E8/'Scenarios_10'!B8))-IF(AND(6&gt;('Scenarios_10'!B8-4),6&lt;='Scenarios_10'!B8),'Scenarios_10'!F8,0)),0))+(IF(6=0,'Scenarios_10'!E8,0))-(IF(6=0,0,IF('Scenarios_10'!C8="uniform_pct",'Inputs_Data'!E11*(1-(MIN('Scenarios_10'!G8,'Assumptions'!B10))),IF('Scenarios_10'!C8="electricity_only_pct",('Inputs_Data'!C11*(1-(MIN('Scenarios_10'!G8,'Assumptions'!B10))))+'Inputs_Data'!D11,0+('Inputs_Data'!D11*(1-AVERAGE('Assumptions'!B6,'Assumptions'!B7,'Assumptions'!B8,'Assumptions'!B9)))))))</f>
        <v/>
      </c>
      <c r="L58" s="9">
        <f>(L57)+(K58)</f>
        <v/>
      </c>
    </row>
    <row r="59">
      <c r="A59" s="5" t="n">
        <v>7</v>
      </c>
      <c r="B59" s="9">
        <f>IF(7=0,-'Inputs_Data'!H5,0)</f>
        <v/>
      </c>
      <c r="C59" s="9">
        <f>IF(7=0,0,'Inputs_Data'!B12)</f>
        <v/>
      </c>
      <c r="D59" s="9">
        <f>IF(7=0,0,'Inputs_Data'!E12)</f>
        <v/>
      </c>
      <c r="E59" s="9">
        <f>(IF(7=0,-'Inputs_Data'!H5,0))+(IF(7=0,0,'Inputs_Data'!B12))-(IF(7=0,0,'Inputs_Data'!E12))</f>
        <v/>
      </c>
      <c r="F59" s="9">
        <f>(F58)+(E59)</f>
        <v/>
      </c>
      <c r="G59" s="9">
        <f>IF(7=0,-'Inputs_Data'!H5,0)</f>
        <v/>
      </c>
      <c r="H59" s="9">
        <f>IF(AND(7&gt;=1,7&lt;='Scenarios_10'!B8),MAX(0,(MAX(0,'Scenarios_10'!D8-'Scenarios_10'!E8/'Scenarios_10'!B8))-IF(AND(7&gt;('Scenarios_10'!B8-4),7&lt;='Scenarios_10'!B8),'Scenarios_10'!F8,0)),0)</f>
        <v/>
      </c>
      <c r="I59" s="9">
        <f>IF(7=0,'Scenarios_10'!E8,0)</f>
        <v/>
      </c>
      <c r="J59" s="9">
        <f>IF(7=0,0,IF('Scenarios_10'!C8="uniform_pct",'Inputs_Data'!E12*(1-(MIN('Scenarios_10'!G8,'Assumptions'!B10))),IF('Scenarios_10'!C8="electricity_only_pct",('Inputs_Data'!C12*(1-(MIN('Scenarios_10'!G8,'Assumptions'!B10))))+'Inputs_Data'!D12,0+('Inputs_Data'!D12*(1-AVERAGE('Assumptions'!B6,'Assumptions'!B7,'Assumptions'!B8,'Assumptions'!B9))))))</f>
        <v/>
      </c>
      <c r="K59" s="9">
        <f>(IF(7=0,-'Inputs_Data'!H5,0))+(IF(AND(7&gt;=1,7&lt;='Scenarios_10'!B8),MAX(0,(MAX(0,'Scenarios_10'!D8-'Scenarios_10'!E8/'Scenarios_10'!B8))-IF(AND(7&gt;('Scenarios_10'!B8-4),7&lt;='Scenarios_10'!B8),'Scenarios_10'!F8,0)),0))+(IF(7=0,'Scenarios_10'!E8,0))-(IF(7=0,0,IF('Scenarios_10'!C8="uniform_pct",'Inputs_Data'!E12*(1-(MIN('Scenarios_10'!G8,'Assumptions'!B10))),IF('Scenarios_10'!C8="electricity_only_pct",('Inputs_Data'!C12*(1-(MIN('Scenarios_10'!G8,'Assumptions'!B10))))+'Inputs_Data'!D12,0+('Inputs_Data'!D12*(1-AVERAGE('Assumptions'!B6,'Assumptions'!B7,'Assumptions'!B8,'Assumptions'!B9)))))))</f>
        <v/>
      </c>
      <c r="L59" s="9">
        <f>(L58)+(K59)</f>
        <v/>
      </c>
    </row>
    <row r="60">
      <c r="A60" s="5" t="n">
        <v>8</v>
      </c>
      <c r="B60" s="9">
        <f>IF(8=0,-'Inputs_Data'!H5,0)</f>
        <v/>
      </c>
      <c r="C60" s="9">
        <f>IF(8=0,0,'Inputs_Data'!B13)</f>
        <v/>
      </c>
      <c r="D60" s="9">
        <f>IF(8=0,0,'Inputs_Data'!E13)</f>
        <v/>
      </c>
      <c r="E60" s="9">
        <f>(IF(8=0,-'Inputs_Data'!H5,0))+(IF(8=0,0,'Inputs_Data'!B13))-(IF(8=0,0,'Inputs_Data'!E13))</f>
        <v/>
      </c>
      <c r="F60" s="9">
        <f>(F59)+(E60)</f>
        <v/>
      </c>
      <c r="G60" s="9">
        <f>IF(8=0,-'Inputs_Data'!H5,0)</f>
        <v/>
      </c>
      <c r="H60" s="9">
        <f>IF(AND(8&gt;=1,8&lt;='Scenarios_10'!B8),MAX(0,(MAX(0,'Scenarios_10'!D8-'Scenarios_10'!E8/'Scenarios_10'!B8))-IF(AND(8&gt;('Scenarios_10'!B8-4),8&lt;='Scenarios_10'!B8),'Scenarios_10'!F8,0)),0)</f>
        <v/>
      </c>
      <c r="I60" s="9">
        <f>IF(8=0,'Scenarios_10'!E8,0)</f>
        <v/>
      </c>
      <c r="J60" s="9">
        <f>IF(8=0,0,IF('Scenarios_10'!C8="uniform_pct",'Inputs_Data'!E13*(1-(MIN('Scenarios_10'!G8,'Assumptions'!B10))),IF('Scenarios_10'!C8="electricity_only_pct",('Inputs_Data'!C13*(1-(MIN('Scenarios_10'!G8,'Assumptions'!B10))))+'Inputs_Data'!D13,0+('Inputs_Data'!D13*(1-AVERAGE('Assumptions'!B6,'Assumptions'!B7,'Assumptions'!B8,'Assumptions'!B9))))))</f>
        <v/>
      </c>
      <c r="K60" s="9">
        <f>(IF(8=0,-'Inputs_Data'!H5,0))+(IF(AND(8&gt;=1,8&lt;='Scenarios_10'!B8),MAX(0,(MAX(0,'Scenarios_10'!D8-'Scenarios_10'!E8/'Scenarios_10'!B8))-IF(AND(8&gt;('Scenarios_10'!B8-4),8&lt;='Scenarios_10'!B8),'Scenarios_10'!F8,0)),0))+(IF(8=0,'Scenarios_10'!E8,0))-(IF(8=0,0,IF('Scenarios_10'!C8="uniform_pct",'Inputs_Data'!E13*(1-(MIN('Scenarios_10'!G8,'Assumptions'!B10))),IF('Scenarios_10'!C8="electricity_only_pct",('Inputs_Data'!C13*(1-(MIN('Scenarios_10'!G8,'Assumptions'!B10))))+'Inputs_Data'!D13,0+('Inputs_Data'!D13*(1-AVERAGE('Assumptions'!B6,'Assumptions'!B7,'Assumptions'!B8,'Assumptions'!B9)))))))</f>
        <v/>
      </c>
      <c r="L60" s="9">
        <f>(L59)+(K60)</f>
        <v/>
      </c>
    </row>
    <row r="61">
      <c r="A61" s="5" t="n">
        <v>9</v>
      </c>
      <c r="B61" s="9">
        <f>IF(9=0,-'Inputs_Data'!H5,0)</f>
        <v/>
      </c>
      <c r="C61" s="9">
        <f>IF(9=0,0,'Inputs_Data'!B14)</f>
        <v/>
      </c>
      <c r="D61" s="9">
        <f>IF(9=0,0,'Inputs_Data'!E14)</f>
        <v/>
      </c>
      <c r="E61" s="9">
        <f>(IF(9=0,-'Inputs_Data'!H5,0))+(IF(9=0,0,'Inputs_Data'!B14))-(IF(9=0,0,'Inputs_Data'!E14))</f>
        <v/>
      </c>
      <c r="F61" s="9">
        <f>(F60)+(E61)</f>
        <v/>
      </c>
      <c r="G61" s="9">
        <f>IF(9=0,-'Inputs_Data'!H5,0)</f>
        <v/>
      </c>
      <c r="H61" s="9">
        <f>IF(AND(9&gt;=1,9&lt;='Scenarios_10'!B8),MAX(0,(MAX(0,'Scenarios_10'!D8-'Scenarios_10'!E8/'Scenarios_10'!B8))-IF(AND(9&gt;('Scenarios_10'!B8-4),9&lt;='Scenarios_10'!B8),'Scenarios_10'!F8,0)),0)</f>
        <v/>
      </c>
      <c r="I61" s="9">
        <f>IF(9=0,'Scenarios_10'!E8,0)</f>
        <v/>
      </c>
      <c r="J61" s="9">
        <f>IF(9=0,0,IF('Scenarios_10'!C8="uniform_pct",'Inputs_Data'!E14*(1-(MIN('Scenarios_10'!G8,'Assumptions'!B10))),IF('Scenarios_10'!C8="electricity_only_pct",('Inputs_Data'!C14*(1-(MIN('Scenarios_10'!G8,'Assumptions'!B10))))+'Inputs_Data'!D14,0+('Inputs_Data'!D14*(1-AVERAGE('Assumptions'!B6,'Assumptions'!B7,'Assumptions'!B8,'Assumptions'!B9))))))</f>
        <v/>
      </c>
      <c r="K61" s="9">
        <f>(IF(9=0,-'Inputs_Data'!H5,0))+(IF(AND(9&gt;=1,9&lt;='Scenarios_10'!B8),MAX(0,(MAX(0,'Scenarios_10'!D8-'Scenarios_10'!E8/'Scenarios_10'!B8))-IF(AND(9&gt;('Scenarios_10'!B8-4),9&lt;='Scenarios_10'!B8),'Scenarios_10'!F8,0)),0))+(IF(9=0,'Scenarios_10'!E8,0))-(IF(9=0,0,IF('Scenarios_10'!C8="uniform_pct",'Inputs_Data'!E14*(1-(MIN('Scenarios_10'!G8,'Assumptions'!B10))),IF('Scenarios_10'!C8="electricity_only_pct",('Inputs_Data'!C14*(1-(MIN('Scenarios_10'!G8,'Assumptions'!B10))))+'Inputs_Data'!D14,0+('Inputs_Data'!D14*(1-AVERAGE('Assumptions'!B6,'Assumptions'!B7,'Assumptions'!B8,'Assumptions'!B9)))))))</f>
        <v/>
      </c>
      <c r="L61" s="9">
        <f>(L60)+(K61)</f>
        <v/>
      </c>
    </row>
    <row r="62">
      <c r="A62" s="5" t="n">
        <v>10</v>
      </c>
      <c r="B62" s="9">
        <f>IF(10=0,-'Inputs_Data'!H5,0)</f>
        <v/>
      </c>
      <c r="C62" s="9">
        <f>IF(10=0,0,'Inputs_Data'!B15)</f>
        <v/>
      </c>
      <c r="D62" s="9">
        <f>IF(10=0,0,'Inputs_Data'!E15)</f>
        <v/>
      </c>
      <c r="E62" s="9">
        <f>(IF(10=0,-'Inputs_Data'!H5,0))+(IF(10=0,0,'Inputs_Data'!B15))-(IF(10=0,0,'Inputs_Data'!E15))</f>
        <v/>
      </c>
      <c r="F62" s="9">
        <f>(F61)+(E62)</f>
        <v/>
      </c>
      <c r="G62" s="9">
        <f>IF(10=0,-'Inputs_Data'!H5,0)</f>
        <v/>
      </c>
      <c r="H62" s="9">
        <f>IF(AND(10&gt;=1,10&lt;='Scenarios_10'!B8),MAX(0,(MAX(0,'Scenarios_10'!D8-'Scenarios_10'!E8/'Scenarios_10'!B8))-IF(AND(10&gt;('Scenarios_10'!B8-4),10&lt;='Scenarios_10'!B8),'Scenarios_10'!F8,0)),0)</f>
        <v/>
      </c>
      <c r="I62" s="9">
        <f>IF(10=0,'Scenarios_10'!E8,0)</f>
        <v/>
      </c>
      <c r="J62" s="9">
        <f>IF(10=0,0,IF('Scenarios_10'!C8="uniform_pct",'Inputs_Data'!E15*(1-(MIN('Scenarios_10'!G8,'Assumptions'!B10))),IF('Scenarios_10'!C8="electricity_only_pct",('Inputs_Data'!C15*(1-(MIN('Scenarios_10'!G8,'Assumptions'!B10))))+'Inputs_Data'!D15,0+('Inputs_Data'!D15*(1-AVERAGE('Assumptions'!B6,'Assumptions'!B7,'Assumptions'!B8,'Assumptions'!B9))))))</f>
        <v/>
      </c>
      <c r="K62" s="9">
        <f>(IF(10=0,-'Inputs_Data'!H5,0))+(IF(AND(10&gt;=1,10&lt;='Scenarios_10'!B8),MAX(0,(MAX(0,'Scenarios_10'!D8-'Scenarios_10'!E8/'Scenarios_10'!B8))-IF(AND(10&gt;('Scenarios_10'!B8-4),10&lt;='Scenarios_10'!B8),'Scenarios_10'!F8,0)),0))+(IF(10=0,'Scenarios_10'!E8,0))-(IF(10=0,0,IF('Scenarios_10'!C8="uniform_pct",'Inputs_Data'!E15*(1-(MIN('Scenarios_10'!G8,'Assumptions'!B10))),IF('Scenarios_10'!C8="electricity_only_pct",('Inputs_Data'!C15*(1-(MIN('Scenarios_10'!G8,'Assumptions'!B10))))+'Inputs_Data'!D15,0+('Inputs_Data'!D15*(1-AVERAGE('Assumptions'!B6,'Assumptions'!B7,'Assumptions'!B8,'Assumptions'!B9)))))))</f>
        <v/>
      </c>
      <c r="L62" s="9">
        <f>(L61)+(K62)</f>
        <v/>
      </c>
    </row>
    <row r="65">
      <c r="A65" s="6" t="inlineStr">
        <is>
          <t>Tier: ='Scenarios_10'!A9</t>
        </is>
      </c>
    </row>
    <row r="66">
      <c r="A66" s="4" t="inlineStr">
        <is>
          <t>year</t>
        </is>
      </c>
      <c r="B66" s="4" t="inlineStr">
        <is>
          <t>trust_capex</t>
        </is>
      </c>
      <c r="C66" s="4" t="inlineStr">
        <is>
          <t>trust_fee</t>
        </is>
      </c>
      <c r="D66" s="4" t="inlineStr">
        <is>
          <t>trust_cash_opex</t>
        </is>
      </c>
      <c r="E66" s="4" t="inlineStr">
        <is>
          <t>trust_net_cf</t>
        </is>
      </c>
      <c r="F66" s="4" t="inlineStr">
        <is>
          <t>trust_cum_cf</t>
        </is>
      </c>
      <c r="G66" s="4" t="inlineStr">
        <is>
          <t>laas_capex</t>
        </is>
      </c>
      <c r="H66" s="4" t="inlineStr">
        <is>
          <t>laas_fee</t>
        </is>
      </c>
      <c r="I66" s="4" t="inlineStr">
        <is>
          <t>laas_upfront</t>
        </is>
      </c>
      <c r="J66" s="4" t="inlineStr">
        <is>
          <t>laas_cash_opex</t>
        </is>
      </c>
      <c r="K66" s="4" t="inlineStr">
        <is>
          <t>laas_net_cf</t>
        </is>
      </c>
      <c r="L66" s="4" t="inlineStr">
        <is>
          <t>laas_cum_cf</t>
        </is>
      </c>
    </row>
    <row r="67">
      <c r="A67" s="5" t="n">
        <v>0</v>
      </c>
      <c r="B67" s="9">
        <f>IF(0=0,-'Inputs_Data'!H5,0)</f>
        <v/>
      </c>
      <c r="C67" s="9">
        <f>IF(0=0,0,'Inputs_Data'!B5)</f>
        <v/>
      </c>
      <c r="D67" s="9">
        <f>IF(0=0,0,'Inputs_Data'!E5)</f>
        <v/>
      </c>
      <c r="E67" s="9">
        <f>(IF(0=0,-'Inputs_Data'!H5,0))+(IF(0=0,0,'Inputs_Data'!B5))-(IF(0=0,0,'Inputs_Data'!E5))</f>
        <v/>
      </c>
      <c r="F67" s="9">
        <f>(0)+(E67)</f>
        <v/>
      </c>
      <c r="G67" s="9">
        <f>IF(0=0,-'Inputs_Data'!H5,0)</f>
        <v/>
      </c>
      <c r="H67" s="9">
        <f>IF(AND(0&gt;=1,0&lt;='Scenarios_10'!B9),MAX(0,(MAX(0,'Scenarios_10'!D9-'Scenarios_10'!E9/'Scenarios_10'!B9))-IF(AND(0&gt;('Scenarios_10'!B9-4),0&lt;='Scenarios_10'!B9),'Scenarios_10'!F9,0)),0)</f>
        <v/>
      </c>
      <c r="I67" s="9">
        <f>IF(0=0,'Scenarios_10'!E9,0)</f>
        <v/>
      </c>
      <c r="J67" s="9">
        <f>IF(0=0,0,IF('Scenarios_10'!C9="uniform_pct",'Inputs_Data'!E5*(1-(MIN('Scenarios_10'!G9,'Assumptions'!B10))),IF('Scenarios_10'!C9="electricity_only_pct",('Inputs_Data'!C5*(1-(MIN('Scenarios_10'!G9,'Assumptions'!B10))))+'Inputs_Data'!D5,0+('Inputs_Data'!D5*(1-AVERAGE('Assumptions'!B6,'Assumptions'!B7,'Assumptions'!B8,'Assumptions'!B9))))))</f>
        <v/>
      </c>
      <c r="K67" s="9">
        <f>(IF(0=0,-'Inputs_Data'!H5,0))+(IF(AND(0&gt;=1,0&lt;='Scenarios_10'!B9),MAX(0,(MAX(0,'Scenarios_10'!D9-'Scenarios_10'!E9/'Scenarios_10'!B9))-IF(AND(0&gt;('Scenarios_10'!B9-4),0&lt;='Scenarios_10'!B9),'Scenarios_10'!F9,0)),0))+(IF(0=0,'Scenarios_10'!E9,0))-(IF(0=0,0,IF('Scenarios_10'!C9="uniform_pct",'Inputs_Data'!E5*(1-(MIN('Scenarios_10'!G9,'Assumptions'!B10))),IF('Scenarios_10'!C9="electricity_only_pct",('Inputs_Data'!C5*(1-(MIN('Scenarios_10'!G9,'Assumptions'!B10))))+'Inputs_Data'!D5,0+('Inputs_Data'!D5*(1-AVERAGE('Assumptions'!B6,'Assumptions'!B7,'Assumptions'!B8,'Assumptions'!B9)))))))</f>
        <v/>
      </c>
      <c r="L67" s="9">
        <f>(0)+(K67)</f>
        <v/>
      </c>
    </row>
    <row r="68">
      <c r="A68" s="5" t="n">
        <v>1</v>
      </c>
      <c r="B68" s="9">
        <f>IF(1=0,-'Inputs_Data'!H5,0)</f>
        <v/>
      </c>
      <c r="C68" s="9">
        <f>IF(1=0,0,'Inputs_Data'!B6)</f>
        <v/>
      </c>
      <c r="D68" s="9">
        <f>IF(1=0,0,'Inputs_Data'!E6)</f>
        <v/>
      </c>
      <c r="E68" s="9">
        <f>(IF(1=0,-'Inputs_Data'!H5,0))+(IF(1=0,0,'Inputs_Data'!B6))-(IF(1=0,0,'Inputs_Data'!E6))</f>
        <v/>
      </c>
      <c r="F68" s="9">
        <f>(F67)+(E68)</f>
        <v/>
      </c>
      <c r="G68" s="9">
        <f>IF(1=0,-'Inputs_Data'!H5,0)</f>
        <v/>
      </c>
      <c r="H68" s="9">
        <f>IF(AND(1&gt;=1,1&lt;='Scenarios_10'!B9),MAX(0,(MAX(0,'Scenarios_10'!D9-'Scenarios_10'!E9/'Scenarios_10'!B9))-IF(AND(1&gt;('Scenarios_10'!B9-4),1&lt;='Scenarios_10'!B9),'Scenarios_10'!F9,0)),0)</f>
        <v/>
      </c>
      <c r="I68" s="9">
        <f>IF(1=0,'Scenarios_10'!E9,0)</f>
        <v/>
      </c>
      <c r="J68" s="9">
        <f>IF(1=0,0,IF('Scenarios_10'!C9="uniform_pct",'Inputs_Data'!E6*(1-(MIN('Scenarios_10'!G9,'Assumptions'!B10))),IF('Scenarios_10'!C9="electricity_only_pct",('Inputs_Data'!C6*(1-(MIN('Scenarios_10'!G9,'Assumptions'!B10))))+'Inputs_Data'!D6,0+('Inputs_Data'!D6*(1-AVERAGE('Assumptions'!B6,'Assumptions'!B7,'Assumptions'!B8,'Assumptions'!B9))))))</f>
        <v/>
      </c>
      <c r="K68" s="9">
        <f>(IF(1=0,-'Inputs_Data'!H5,0))+(IF(AND(1&gt;=1,1&lt;='Scenarios_10'!B9),MAX(0,(MAX(0,'Scenarios_10'!D9-'Scenarios_10'!E9/'Scenarios_10'!B9))-IF(AND(1&gt;('Scenarios_10'!B9-4),1&lt;='Scenarios_10'!B9),'Scenarios_10'!F9,0)),0))+(IF(1=0,'Scenarios_10'!E9,0))-(IF(1=0,0,IF('Scenarios_10'!C9="uniform_pct",'Inputs_Data'!E6*(1-(MIN('Scenarios_10'!G9,'Assumptions'!B10))),IF('Scenarios_10'!C9="electricity_only_pct",('Inputs_Data'!C6*(1-(MIN('Scenarios_10'!G9,'Assumptions'!B10))))+'Inputs_Data'!D6,0+('Inputs_Data'!D6*(1-AVERAGE('Assumptions'!B6,'Assumptions'!B7,'Assumptions'!B8,'Assumptions'!B9)))))))</f>
        <v/>
      </c>
      <c r="L68" s="9">
        <f>(L67)+(K68)</f>
        <v/>
      </c>
    </row>
    <row r="69">
      <c r="A69" s="5" t="n">
        <v>2</v>
      </c>
      <c r="B69" s="9">
        <f>IF(2=0,-'Inputs_Data'!H5,0)</f>
        <v/>
      </c>
      <c r="C69" s="9">
        <f>IF(2=0,0,'Inputs_Data'!B7)</f>
        <v/>
      </c>
      <c r="D69" s="9">
        <f>IF(2=0,0,'Inputs_Data'!E7)</f>
        <v/>
      </c>
      <c r="E69" s="9">
        <f>(IF(2=0,-'Inputs_Data'!H5,0))+(IF(2=0,0,'Inputs_Data'!B7))-(IF(2=0,0,'Inputs_Data'!E7))</f>
        <v/>
      </c>
      <c r="F69" s="9">
        <f>(F68)+(E69)</f>
        <v/>
      </c>
      <c r="G69" s="9">
        <f>IF(2=0,-'Inputs_Data'!H5,0)</f>
        <v/>
      </c>
      <c r="H69" s="9">
        <f>IF(AND(2&gt;=1,2&lt;='Scenarios_10'!B9),MAX(0,(MAX(0,'Scenarios_10'!D9-'Scenarios_10'!E9/'Scenarios_10'!B9))-IF(AND(2&gt;('Scenarios_10'!B9-4),2&lt;='Scenarios_10'!B9),'Scenarios_10'!F9,0)),0)</f>
        <v/>
      </c>
      <c r="I69" s="9">
        <f>IF(2=0,'Scenarios_10'!E9,0)</f>
        <v/>
      </c>
      <c r="J69" s="9">
        <f>IF(2=0,0,IF('Scenarios_10'!C9="uniform_pct",'Inputs_Data'!E7*(1-(MIN('Scenarios_10'!G9,'Assumptions'!B10))),IF('Scenarios_10'!C9="electricity_only_pct",('Inputs_Data'!C7*(1-(MIN('Scenarios_10'!G9,'Assumptions'!B10))))+'Inputs_Data'!D7,0+('Inputs_Data'!D7*(1-AVERAGE('Assumptions'!B6,'Assumptions'!B7,'Assumptions'!B8,'Assumptions'!B9))))))</f>
        <v/>
      </c>
      <c r="K69" s="9">
        <f>(IF(2=0,-'Inputs_Data'!H5,0))+(IF(AND(2&gt;=1,2&lt;='Scenarios_10'!B9),MAX(0,(MAX(0,'Scenarios_10'!D9-'Scenarios_10'!E9/'Scenarios_10'!B9))-IF(AND(2&gt;('Scenarios_10'!B9-4),2&lt;='Scenarios_10'!B9),'Scenarios_10'!F9,0)),0))+(IF(2=0,'Scenarios_10'!E9,0))-(IF(2=0,0,IF('Scenarios_10'!C9="uniform_pct",'Inputs_Data'!E7*(1-(MIN('Scenarios_10'!G9,'Assumptions'!B10))),IF('Scenarios_10'!C9="electricity_only_pct",('Inputs_Data'!C7*(1-(MIN('Scenarios_10'!G9,'Assumptions'!B10))))+'Inputs_Data'!D7,0+('Inputs_Data'!D7*(1-AVERAGE('Assumptions'!B6,'Assumptions'!B7,'Assumptions'!B8,'Assumptions'!B9)))))))</f>
        <v/>
      </c>
      <c r="L69" s="9">
        <f>(L68)+(K69)</f>
        <v/>
      </c>
    </row>
    <row r="70">
      <c r="A70" s="5" t="n">
        <v>3</v>
      </c>
      <c r="B70" s="9">
        <f>IF(3=0,-'Inputs_Data'!H5,0)</f>
        <v/>
      </c>
      <c r="C70" s="9">
        <f>IF(3=0,0,'Inputs_Data'!B8)</f>
        <v/>
      </c>
      <c r="D70" s="9">
        <f>IF(3=0,0,'Inputs_Data'!E8)</f>
        <v/>
      </c>
      <c r="E70" s="9">
        <f>(IF(3=0,-'Inputs_Data'!H5,0))+(IF(3=0,0,'Inputs_Data'!B8))-(IF(3=0,0,'Inputs_Data'!E8))</f>
        <v/>
      </c>
      <c r="F70" s="9">
        <f>(F69)+(E70)</f>
        <v/>
      </c>
      <c r="G70" s="9">
        <f>IF(3=0,-'Inputs_Data'!H5,0)</f>
        <v/>
      </c>
      <c r="H70" s="9">
        <f>IF(AND(3&gt;=1,3&lt;='Scenarios_10'!B9),MAX(0,(MAX(0,'Scenarios_10'!D9-'Scenarios_10'!E9/'Scenarios_10'!B9))-IF(AND(3&gt;('Scenarios_10'!B9-4),3&lt;='Scenarios_10'!B9),'Scenarios_10'!F9,0)),0)</f>
        <v/>
      </c>
      <c r="I70" s="9">
        <f>IF(3=0,'Scenarios_10'!E9,0)</f>
        <v/>
      </c>
      <c r="J70" s="9">
        <f>IF(3=0,0,IF('Scenarios_10'!C9="uniform_pct",'Inputs_Data'!E8*(1-(MIN('Scenarios_10'!G9,'Assumptions'!B10))),IF('Scenarios_10'!C9="electricity_only_pct",('Inputs_Data'!C8*(1-(MIN('Scenarios_10'!G9,'Assumptions'!B10))))+'Inputs_Data'!D8,0+('Inputs_Data'!D8*(1-AVERAGE('Assumptions'!B6,'Assumptions'!B7,'Assumptions'!B8,'Assumptions'!B9))))))</f>
        <v/>
      </c>
      <c r="K70" s="9">
        <f>(IF(3=0,-'Inputs_Data'!H5,0))+(IF(AND(3&gt;=1,3&lt;='Scenarios_10'!B9),MAX(0,(MAX(0,'Scenarios_10'!D9-'Scenarios_10'!E9/'Scenarios_10'!B9))-IF(AND(3&gt;('Scenarios_10'!B9-4),3&lt;='Scenarios_10'!B9),'Scenarios_10'!F9,0)),0))+(IF(3=0,'Scenarios_10'!E9,0))-(IF(3=0,0,IF('Scenarios_10'!C9="uniform_pct",'Inputs_Data'!E8*(1-(MIN('Scenarios_10'!G9,'Assumptions'!B10))),IF('Scenarios_10'!C9="electricity_only_pct",('Inputs_Data'!C8*(1-(MIN('Scenarios_10'!G9,'Assumptions'!B10))))+'Inputs_Data'!D8,0+('Inputs_Data'!D8*(1-AVERAGE('Assumptions'!B6,'Assumptions'!B7,'Assumptions'!B8,'Assumptions'!B9)))))))</f>
        <v/>
      </c>
      <c r="L70" s="9">
        <f>(L69)+(K70)</f>
        <v/>
      </c>
    </row>
    <row r="71">
      <c r="A71" s="5" t="n">
        <v>4</v>
      </c>
      <c r="B71" s="9">
        <f>IF(4=0,-'Inputs_Data'!H5,0)</f>
        <v/>
      </c>
      <c r="C71" s="9">
        <f>IF(4=0,0,'Inputs_Data'!B9)</f>
        <v/>
      </c>
      <c r="D71" s="9">
        <f>IF(4=0,0,'Inputs_Data'!E9)</f>
        <v/>
      </c>
      <c r="E71" s="9">
        <f>(IF(4=0,-'Inputs_Data'!H5,0))+(IF(4=0,0,'Inputs_Data'!B9))-(IF(4=0,0,'Inputs_Data'!E9))</f>
        <v/>
      </c>
      <c r="F71" s="9">
        <f>(F70)+(E71)</f>
        <v/>
      </c>
      <c r="G71" s="9">
        <f>IF(4=0,-'Inputs_Data'!H5,0)</f>
        <v/>
      </c>
      <c r="H71" s="9">
        <f>IF(AND(4&gt;=1,4&lt;='Scenarios_10'!B9),MAX(0,(MAX(0,'Scenarios_10'!D9-'Scenarios_10'!E9/'Scenarios_10'!B9))-IF(AND(4&gt;('Scenarios_10'!B9-4),4&lt;='Scenarios_10'!B9),'Scenarios_10'!F9,0)),0)</f>
        <v/>
      </c>
      <c r="I71" s="9">
        <f>IF(4=0,'Scenarios_10'!E9,0)</f>
        <v/>
      </c>
      <c r="J71" s="9">
        <f>IF(4=0,0,IF('Scenarios_10'!C9="uniform_pct",'Inputs_Data'!E9*(1-(MIN('Scenarios_10'!G9,'Assumptions'!B10))),IF('Scenarios_10'!C9="electricity_only_pct",('Inputs_Data'!C9*(1-(MIN('Scenarios_10'!G9,'Assumptions'!B10))))+'Inputs_Data'!D9,0+('Inputs_Data'!D9*(1-AVERAGE('Assumptions'!B6,'Assumptions'!B7,'Assumptions'!B8,'Assumptions'!B9))))))</f>
        <v/>
      </c>
      <c r="K71" s="9">
        <f>(IF(4=0,-'Inputs_Data'!H5,0))+(IF(AND(4&gt;=1,4&lt;='Scenarios_10'!B9),MAX(0,(MAX(0,'Scenarios_10'!D9-'Scenarios_10'!E9/'Scenarios_10'!B9))-IF(AND(4&gt;('Scenarios_10'!B9-4),4&lt;='Scenarios_10'!B9),'Scenarios_10'!F9,0)),0))+(IF(4=0,'Scenarios_10'!E9,0))-(IF(4=0,0,IF('Scenarios_10'!C9="uniform_pct",'Inputs_Data'!E9*(1-(MIN('Scenarios_10'!G9,'Assumptions'!B10))),IF('Scenarios_10'!C9="electricity_only_pct",('Inputs_Data'!C9*(1-(MIN('Scenarios_10'!G9,'Assumptions'!B10))))+'Inputs_Data'!D9,0+('Inputs_Data'!D9*(1-AVERAGE('Assumptions'!B6,'Assumptions'!B7,'Assumptions'!B8,'Assumptions'!B9)))))))</f>
        <v/>
      </c>
      <c r="L71" s="9">
        <f>(L70)+(K71)</f>
        <v/>
      </c>
    </row>
    <row r="72">
      <c r="A72" s="5" t="n">
        <v>5</v>
      </c>
      <c r="B72" s="9">
        <f>IF(5=0,-'Inputs_Data'!H5,0)</f>
        <v/>
      </c>
      <c r="C72" s="9">
        <f>IF(5=0,0,'Inputs_Data'!B10)</f>
        <v/>
      </c>
      <c r="D72" s="9">
        <f>IF(5=0,0,'Inputs_Data'!E10)</f>
        <v/>
      </c>
      <c r="E72" s="9">
        <f>(IF(5=0,-'Inputs_Data'!H5,0))+(IF(5=0,0,'Inputs_Data'!B10))-(IF(5=0,0,'Inputs_Data'!E10))</f>
        <v/>
      </c>
      <c r="F72" s="9">
        <f>(F71)+(E72)</f>
        <v/>
      </c>
      <c r="G72" s="9">
        <f>IF(5=0,-'Inputs_Data'!H5,0)</f>
        <v/>
      </c>
      <c r="H72" s="9">
        <f>IF(AND(5&gt;=1,5&lt;='Scenarios_10'!B9),MAX(0,(MAX(0,'Scenarios_10'!D9-'Scenarios_10'!E9/'Scenarios_10'!B9))-IF(AND(5&gt;('Scenarios_10'!B9-4),5&lt;='Scenarios_10'!B9),'Scenarios_10'!F9,0)),0)</f>
        <v/>
      </c>
      <c r="I72" s="9">
        <f>IF(5=0,'Scenarios_10'!E9,0)</f>
        <v/>
      </c>
      <c r="J72" s="9">
        <f>IF(5=0,0,IF('Scenarios_10'!C9="uniform_pct",'Inputs_Data'!E10*(1-(MIN('Scenarios_10'!G9,'Assumptions'!B10))),IF('Scenarios_10'!C9="electricity_only_pct",('Inputs_Data'!C10*(1-(MIN('Scenarios_10'!G9,'Assumptions'!B10))))+'Inputs_Data'!D10,0+('Inputs_Data'!D10*(1-AVERAGE('Assumptions'!B6,'Assumptions'!B7,'Assumptions'!B8,'Assumptions'!B9))))))</f>
        <v/>
      </c>
      <c r="K72" s="9">
        <f>(IF(5=0,-'Inputs_Data'!H5,0))+(IF(AND(5&gt;=1,5&lt;='Scenarios_10'!B9),MAX(0,(MAX(0,'Scenarios_10'!D9-'Scenarios_10'!E9/'Scenarios_10'!B9))-IF(AND(5&gt;('Scenarios_10'!B9-4),5&lt;='Scenarios_10'!B9),'Scenarios_10'!F9,0)),0))+(IF(5=0,'Scenarios_10'!E9,0))-(IF(5=0,0,IF('Scenarios_10'!C9="uniform_pct",'Inputs_Data'!E10*(1-(MIN('Scenarios_10'!G9,'Assumptions'!B10))),IF('Scenarios_10'!C9="electricity_only_pct",('Inputs_Data'!C10*(1-(MIN('Scenarios_10'!G9,'Assumptions'!B10))))+'Inputs_Data'!D10,0+('Inputs_Data'!D10*(1-AVERAGE('Assumptions'!B6,'Assumptions'!B7,'Assumptions'!B8,'Assumptions'!B9)))))))</f>
        <v/>
      </c>
      <c r="L72" s="9">
        <f>(L71)+(K72)</f>
        <v/>
      </c>
    </row>
    <row r="73">
      <c r="A73" s="5" t="n">
        <v>6</v>
      </c>
      <c r="B73" s="9">
        <f>IF(6=0,-'Inputs_Data'!H5,0)</f>
        <v/>
      </c>
      <c r="C73" s="9">
        <f>IF(6=0,0,'Inputs_Data'!B11)</f>
        <v/>
      </c>
      <c r="D73" s="9">
        <f>IF(6=0,0,'Inputs_Data'!E11)</f>
        <v/>
      </c>
      <c r="E73" s="9">
        <f>(IF(6=0,-'Inputs_Data'!H5,0))+(IF(6=0,0,'Inputs_Data'!B11))-(IF(6=0,0,'Inputs_Data'!E11))</f>
        <v/>
      </c>
      <c r="F73" s="9">
        <f>(F72)+(E73)</f>
        <v/>
      </c>
      <c r="G73" s="9">
        <f>IF(6=0,-'Inputs_Data'!H5,0)</f>
        <v/>
      </c>
      <c r="H73" s="9">
        <f>IF(AND(6&gt;=1,6&lt;='Scenarios_10'!B9),MAX(0,(MAX(0,'Scenarios_10'!D9-'Scenarios_10'!E9/'Scenarios_10'!B9))-IF(AND(6&gt;('Scenarios_10'!B9-4),6&lt;='Scenarios_10'!B9),'Scenarios_10'!F9,0)),0)</f>
        <v/>
      </c>
      <c r="I73" s="9">
        <f>IF(6=0,'Scenarios_10'!E9,0)</f>
        <v/>
      </c>
      <c r="J73" s="9">
        <f>IF(6=0,0,IF('Scenarios_10'!C9="uniform_pct",'Inputs_Data'!E11*(1-(MIN('Scenarios_10'!G9,'Assumptions'!B10))),IF('Scenarios_10'!C9="electricity_only_pct",('Inputs_Data'!C11*(1-(MIN('Scenarios_10'!G9,'Assumptions'!B10))))+'Inputs_Data'!D11,0+('Inputs_Data'!D11*(1-AVERAGE('Assumptions'!B6,'Assumptions'!B7,'Assumptions'!B8,'Assumptions'!B9))))))</f>
        <v/>
      </c>
      <c r="K73" s="9">
        <f>(IF(6=0,-'Inputs_Data'!H5,0))+(IF(AND(6&gt;=1,6&lt;='Scenarios_10'!B9),MAX(0,(MAX(0,'Scenarios_10'!D9-'Scenarios_10'!E9/'Scenarios_10'!B9))-IF(AND(6&gt;('Scenarios_10'!B9-4),6&lt;='Scenarios_10'!B9),'Scenarios_10'!F9,0)),0))+(IF(6=0,'Scenarios_10'!E9,0))-(IF(6=0,0,IF('Scenarios_10'!C9="uniform_pct",'Inputs_Data'!E11*(1-(MIN('Scenarios_10'!G9,'Assumptions'!B10))),IF('Scenarios_10'!C9="electricity_only_pct",('Inputs_Data'!C11*(1-(MIN('Scenarios_10'!G9,'Assumptions'!B10))))+'Inputs_Data'!D11,0+('Inputs_Data'!D11*(1-AVERAGE('Assumptions'!B6,'Assumptions'!B7,'Assumptions'!B8,'Assumptions'!B9)))))))</f>
        <v/>
      </c>
      <c r="L73" s="9">
        <f>(L72)+(K73)</f>
        <v/>
      </c>
    </row>
    <row r="74">
      <c r="A74" s="5" t="n">
        <v>7</v>
      </c>
      <c r="B74" s="9">
        <f>IF(7=0,-'Inputs_Data'!H5,0)</f>
        <v/>
      </c>
      <c r="C74" s="9">
        <f>IF(7=0,0,'Inputs_Data'!B12)</f>
        <v/>
      </c>
      <c r="D74" s="9">
        <f>IF(7=0,0,'Inputs_Data'!E12)</f>
        <v/>
      </c>
      <c r="E74" s="9">
        <f>(IF(7=0,-'Inputs_Data'!H5,0))+(IF(7=0,0,'Inputs_Data'!B12))-(IF(7=0,0,'Inputs_Data'!E12))</f>
        <v/>
      </c>
      <c r="F74" s="9">
        <f>(F73)+(E74)</f>
        <v/>
      </c>
      <c r="G74" s="9">
        <f>IF(7=0,-'Inputs_Data'!H5,0)</f>
        <v/>
      </c>
      <c r="H74" s="9">
        <f>IF(AND(7&gt;=1,7&lt;='Scenarios_10'!B9),MAX(0,(MAX(0,'Scenarios_10'!D9-'Scenarios_10'!E9/'Scenarios_10'!B9))-IF(AND(7&gt;('Scenarios_10'!B9-4),7&lt;='Scenarios_10'!B9),'Scenarios_10'!F9,0)),0)</f>
        <v/>
      </c>
      <c r="I74" s="9">
        <f>IF(7=0,'Scenarios_10'!E9,0)</f>
        <v/>
      </c>
      <c r="J74" s="9">
        <f>IF(7=0,0,IF('Scenarios_10'!C9="uniform_pct",'Inputs_Data'!E12*(1-(MIN('Scenarios_10'!G9,'Assumptions'!B10))),IF('Scenarios_10'!C9="electricity_only_pct",('Inputs_Data'!C12*(1-(MIN('Scenarios_10'!G9,'Assumptions'!B10))))+'Inputs_Data'!D12,0+('Inputs_Data'!D12*(1-AVERAGE('Assumptions'!B6,'Assumptions'!B7,'Assumptions'!B8,'Assumptions'!B9))))))</f>
        <v/>
      </c>
      <c r="K74" s="9">
        <f>(IF(7=0,-'Inputs_Data'!H5,0))+(IF(AND(7&gt;=1,7&lt;='Scenarios_10'!B9),MAX(0,(MAX(0,'Scenarios_10'!D9-'Scenarios_10'!E9/'Scenarios_10'!B9))-IF(AND(7&gt;('Scenarios_10'!B9-4),7&lt;='Scenarios_10'!B9),'Scenarios_10'!F9,0)),0))+(IF(7=0,'Scenarios_10'!E9,0))-(IF(7=0,0,IF('Scenarios_10'!C9="uniform_pct",'Inputs_Data'!E12*(1-(MIN('Scenarios_10'!G9,'Assumptions'!B10))),IF('Scenarios_10'!C9="electricity_only_pct",('Inputs_Data'!C12*(1-(MIN('Scenarios_10'!G9,'Assumptions'!B10))))+'Inputs_Data'!D12,0+('Inputs_Data'!D12*(1-AVERAGE('Assumptions'!B6,'Assumptions'!B7,'Assumptions'!B8,'Assumptions'!B9)))))))</f>
        <v/>
      </c>
      <c r="L74" s="9">
        <f>(L73)+(K74)</f>
        <v/>
      </c>
    </row>
    <row r="75">
      <c r="A75" s="5" t="n">
        <v>8</v>
      </c>
      <c r="B75" s="9">
        <f>IF(8=0,-'Inputs_Data'!H5,0)</f>
        <v/>
      </c>
      <c r="C75" s="9">
        <f>IF(8=0,0,'Inputs_Data'!B13)</f>
        <v/>
      </c>
      <c r="D75" s="9">
        <f>IF(8=0,0,'Inputs_Data'!E13)</f>
        <v/>
      </c>
      <c r="E75" s="9">
        <f>(IF(8=0,-'Inputs_Data'!H5,0))+(IF(8=0,0,'Inputs_Data'!B13))-(IF(8=0,0,'Inputs_Data'!E13))</f>
        <v/>
      </c>
      <c r="F75" s="9">
        <f>(F74)+(E75)</f>
        <v/>
      </c>
      <c r="G75" s="9">
        <f>IF(8=0,-'Inputs_Data'!H5,0)</f>
        <v/>
      </c>
      <c r="H75" s="9">
        <f>IF(AND(8&gt;=1,8&lt;='Scenarios_10'!B9),MAX(0,(MAX(0,'Scenarios_10'!D9-'Scenarios_10'!E9/'Scenarios_10'!B9))-IF(AND(8&gt;('Scenarios_10'!B9-4),8&lt;='Scenarios_10'!B9),'Scenarios_10'!F9,0)),0)</f>
        <v/>
      </c>
      <c r="I75" s="9">
        <f>IF(8=0,'Scenarios_10'!E9,0)</f>
        <v/>
      </c>
      <c r="J75" s="9">
        <f>IF(8=0,0,IF('Scenarios_10'!C9="uniform_pct",'Inputs_Data'!E13*(1-(MIN('Scenarios_10'!G9,'Assumptions'!B10))),IF('Scenarios_10'!C9="electricity_only_pct",('Inputs_Data'!C13*(1-(MIN('Scenarios_10'!G9,'Assumptions'!B10))))+'Inputs_Data'!D13,0+('Inputs_Data'!D13*(1-AVERAGE('Assumptions'!B6,'Assumptions'!B7,'Assumptions'!B8,'Assumptions'!B9))))))</f>
        <v/>
      </c>
      <c r="K75" s="9">
        <f>(IF(8=0,-'Inputs_Data'!H5,0))+(IF(AND(8&gt;=1,8&lt;='Scenarios_10'!B9),MAX(0,(MAX(0,'Scenarios_10'!D9-'Scenarios_10'!E9/'Scenarios_10'!B9))-IF(AND(8&gt;('Scenarios_10'!B9-4),8&lt;='Scenarios_10'!B9),'Scenarios_10'!F9,0)),0))+(IF(8=0,'Scenarios_10'!E9,0))-(IF(8=0,0,IF('Scenarios_10'!C9="uniform_pct",'Inputs_Data'!E13*(1-(MIN('Scenarios_10'!G9,'Assumptions'!B10))),IF('Scenarios_10'!C9="electricity_only_pct",('Inputs_Data'!C13*(1-(MIN('Scenarios_10'!G9,'Assumptions'!B10))))+'Inputs_Data'!D13,0+('Inputs_Data'!D13*(1-AVERAGE('Assumptions'!B6,'Assumptions'!B7,'Assumptions'!B8,'Assumptions'!B9)))))))</f>
        <v/>
      </c>
      <c r="L75" s="9">
        <f>(L74)+(K75)</f>
        <v/>
      </c>
    </row>
    <row r="76">
      <c r="A76" s="5" t="n">
        <v>9</v>
      </c>
      <c r="B76" s="9">
        <f>IF(9=0,-'Inputs_Data'!H5,0)</f>
        <v/>
      </c>
      <c r="C76" s="9">
        <f>IF(9=0,0,'Inputs_Data'!B14)</f>
        <v/>
      </c>
      <c r="D76" s="9">
        <f>IF(9=0,0,'Inputs_Data'!E14)</f>
        <v/>
      </c>
      <c r="E76" s="9">
        <f>(IF(9=0,-'Inputs_Data'!H5,0))+(IF(9=0,0,'Inputs_Data'!B14))-(IF(9=0,0,'Inputs_Data'!E14))</f>
        <v/>
      </c>
      <c r="F76" s="9">
        <f>(F75)+(E76)</f>
        <v/>
      </c>
      <c r="G76" s="9">
        <f>IF(9=0,-'Inputs_Data'!H5,0)</f>
        <v/>
      </c>
      <c r="H76" s="9">
        <f>IF(AND(9&gt;=1,9&lt;='Scenarios_10'!B9),MAX(0,(MAX(0,'Scenarios_10'!D9-'Scenarios_10'!E9/'Scenarios_10'!B9))-IF(AND(9&gt;('Scenarios_10'!B9-4),9&lt;='Scenarios_10'!B9),'Scenarios_10'!F9,0)),0)</f>
        <v/>
      </c>
      <c r="I76" s="9">
        <f>IF(9=0,'Scenarios_10'!E9,0)</f>
        <v/>
      </c>
      <c r="J76" s="9">
        <f>IF(9=0,0,IF('Scenarios_10'!C9="uniform_pct",'Inputs_Data'!E14*(1-(MIN('Scenarios_10'!G9,'Assumptions'!B10))),IF('Scenarios_10'!C9="electricity_only_pct",('Inputs_Data'!C14*(1-(MIN('Scenarios_10'!G9,'Assumptions'!B10))))+'Inputs_Data'!D14,0+('Inputs_Data'!D14*(1-AVERAGE('Assumptions'!B6,'Assumptions'!B7,'Assumptions'!B8,'Assumptions'!B9))))))</f>
        <v/>
      </c>
      <c r="K76" s="9">
        <f>(IF(9=0,-'Inputs_Data'!H5,0))+(IF(AND(9&gt;=1,9&lt;='Scenarios_10'!B9),MAX(0,(MAX(0,'Scenarios_10'!D9-'Scenarios_10'!E9/'Scenarios_10'!B9))-IF(AND(9&gt;('Scenarios_10'!B9-4),9&lt;='Scenarios_10'!B9),'Scenarios_10'!F9,0)),0))+(IF(9=0,'Scenarios_10'!E9,0))-(IF(9=0,0,IF('Scenarios_10'!C9="uniform_pct",'Inputs_Data'!E14*(1-(MIN('Scenarios_10'!G9,'Assumptions'!B10))),IF('Scenarios_10'!C9="electricity_only_pct",('Inputs_Data'!C14*(1-(MIN('Scenarios_10'!G9,'Assumptions'!B10))))+'Inputs_Data'!D14,0+('Inputs_Data'!D14*(1-AVERAGE('Assumptions'!B6,'Assumptions'!B7,'Assumptions'!B8,'Assumptions'!B9)))))))</f>
        <v/>
      </c>
      <c r="L76" s="9">
        <f>(L75)+(K76)</f>
        <v/>
      </c>
    </row>
    <row r="77">
      <c r="A77" s="5" t="n">
        <v>10</v>
      </c>
      <c r="B77" s="9">
        <f>IF(10=0,-'Inputs_Data'!H5,0)</f>
        <v/>
      </c>
      <c r="C77" s="9">
        <f>IF(10=0,0,'Inputs_Data'!B15)</f>
        <v/>
      </c>
      <c r="D77" s="9">
        <f>IF(10=0,0,'Inputs_Data'!E15)</f>
        <v/>
      </c>
      <c r="E77" s="9">
        <f>(IF(10=0,-'Inputs_Data'!H5,0))+(IF(10=0,0,'Inputs_Data'!B15))-(IF(10=0,0,'Inputs_Data'!E15))</f>
        <v/>
      </c>
      <c r="F77" s="9">
        <f>(F76)+(E77)</f>
        <v/>
      </c>
      <c r="G77" s="9">
        <f>IF(10=0,-'Inputs_Data'!H5,0)</f>
        <v/>
      </c>
      <c r="H77" s="9">
        <f>IF(AND(10&gt;=1,10&lt;='Scenarios_10'!B9),MAX(0,(MAX(0,'Scenarios_10'!D9-'Scenarios_10'!E9/'Scenarios_10'!B9))-IF(AND(10&gt;('Scenarios_10'!B9-4),10&lt;='Scenarios_10'!B9),'Scenarios_10'!F9,0)),0)</f>
        <v/>
      </c>
      <c r="I77" s="9">
        <f>IF(10=0,'Scenarios_10'!E9,0)</f>
        <v/>
      </c>
      <c r="J77" s="9">
        <f>IF(10=0,0,IF('Scenarios_10'!C9="uniform_pct",'Inputs_Data'!E15*(1-(MIN('Scenarios_10'!G9,'Assumptions'!B10))),IF('Scenarios_10'!C9="electricity_only_pct",('Inputs_Data'!C15*(1-(MIN('Scenarios_10'!G9,'Assumptions'!B10))))+'Inputs_Data'!D15,0+('Inputs_Data'!D15*(1-AVERAGE('Assumptions'!B6,'Assumptions'!B7,'Assumptions'!B8,'Assumptions'!B9))))))</f>
        <v/>
      </c>
      <c r="K77" s="9">
        <f>(IF(10=0,-'Inputs_Data'!H5,0))+(IF(AND(10&gt;=1,10&lt;='Scenarios_10'!B9),MAX(0,(MAX(0,'Scenarios_10'!D9-'Scenarios_10'!E9/'Scenarios_10'!B9))-IF(AND(10&gt;('Scenarios_10'!B9-4),10&lt;='Scenarios_10'!B9),'Scenarios_10'!F9,0)),0))+(IF(10=0,'Scenarios_10'!E9,0))-(IF(10=0,0,IF('Scenarios_10'!C9="uniform_pct",'Inputs_Data'!E15*(1-(MIN('Scenarios_10'!G9,'Assumptions'!B10))),IF('Scenarios_10'!C9="electricity_only_pct",('Inputs_Data'!C15*(1-(MIN('Scenarios_10'!G9,'Assumptions'!B10))))+'Inputs_Data'!D15,0+('Inputs_Data'!D15*(1-AVERAGE('Assumptions'!B6,'Assumptions'!B7,'Assumptions'!B8,'Assumptions'!B9)))))))</f>
        <v/>
      </c>
      <c r="L77" s="9">
        <f>(L76)+(K77)</f>
        <v/>
      </c>
    </row>
    <row r="80">
      <c r="A80" s="6" t="inlineStr">
        <is>
          <t>Tier: ='Scenarios_10'!A10</t>
        </is>
      </c>
    </row>
    <row r="81">
      <c r="A81" s="4" t="inlineStr">
        <is>
          <t>year</t>
        </is>
      </c>
      <c r="B81" s="4" t="inlineStr">
        <is>
          <t>trust_capex</t>
        </is>
      </c>
      <c r="C81" s="4" t="inlineStr">
        <is>
          <t>trust_fee</t>
        </is>
      </c>
      <c r="D81" s="4" t="inlineStr">
        <is>
          <t>trust_cash_opex</t>
        </is>
      </c>
      <c r="E81" s="4" t="inlineStr">
        <is>
          <t>trust_net_cf</t>
        </is>
      </c>
      <c r="F81" s="4" t="inlineStr">
        <is>
          <t>trust_cum_cf</t>
        </is>
      </c>
      <c r="G81" s="4" t="inlineStr">
        <is>
          <t>laas_capex</t>
        </is>
      </c>
      <c r="H81" s="4" t="inlineStr">
        <is>
          <t>laas_fee</t>
        </is>
      </c>
      <c r="I81" s="4" t="inlineStr">
        <is>
          <t>laas_upfront</t>
        </is>
      </c>
      <c r="J81" s="4" t="inlineStr">
        <is>
          <t>laas_cash_opex</t>
        </is>
      </c>
      <c r="K81" s="4" t="inlineStr">
        <is>
          <t>laas_net_cf</t>
        </is>
      </c>
      <c r="L81" s="4" t="inlineStr">
        <is>
          <t>laas_cum_cf</t>
        </is>
      </c>
    </row>
    <row r="82">
      <c r="A82" s="5" t="n">
        <v>0</v>
      </c>
      <c r="B82" s="9">
        <f>IF(0=0,-'Inputs_Data'!H5,0)</f>
        <v/>
      </c>
      <c r="C82" s="9">
        <f>IF(0=0,0,'Inputs_Data'!B5)</f>
        <v/>
      </c>
      <c r="D82" s="9">
        <f>IF(0=0,0,'Inputs_Data'!E5)</f>
        <v/>
      </c>
      <c r="E82" s="9">
        <f>(IF(0=0,-'Inputs_Data'!H5,0))+(IF(0=0,0,'Inputs_Data'!B5))-(IF(0=0,0,'Inputs_Data'!E5))</f>
        <v/>
      </c>
      <c r="F82" s="9">
        <f>(0)+(E82)</f>
        <v/>
      </c>
      <c r="G82" s="9">
        <f>IF(0=0,-'Inputs_Data'!H5,0)</f>
        <v/>
      </c>
      <c r="H82" s="9">
        <f>IF(AND(0&gt;=1,0&lt;='Scenarios_10'!B10),MAX(0,(MAX(0,'Scenarios_10'!D10-'Scenarios_10'!E10/'Scenarios_10'!B10))-IF(AND(0&gt;('Scenarios_10'!B10-4),0&lt;='Scenarios_10'!B10),'Scenarios_10'!F10,0)),0)</f>
        <v/>
      </c>
      <c r="I82" s="9">
        <f>IF(0=0,'Scenarios_10'!E10,0)</f>
        <v/>
      </c>
      <c r="J82" s="9">
        <f>IF(0=0,0,IF('Scenarios_10'!C10="uniform_pct",'Inputs_Data'!E5*(1-(MIN('Scenarios_10'!G10,'Assumptions'!B10))),IF('Scenarios_10'!C10="electricity_only_pct",('Inputs_Data'!C5*(1-(MIN('Scenarios_10'!G10,'Assumptions'!B10))))+'Inputs_Data'!D5,0+('Inputs_Data'!D5*(1-AVERAGE('Assumptions'!B6,'Assumptions'!B7,'Assumptions'!B8,'Assumptions'!B9))))))</f>
        <v/>
      </c>
      <c r="K82" s="9">
        <f>(IF(0=0,-'Inputs_Data'!H5,0))+(IF(AND(0&gt;=1,0&lt;='Scenarios_10'!B10),MAX(0,(MAX(0,'Scenarios_10'!D10-'Scenarios_10'!E10/'Scenarios_10'!B10))-IF(AND(0&gt;('Scenarios_10'!B10-4),0&lt;='Scenarios_10'!B10),'Scenarios_10'!F10,0)),0))+(IF(0=0,'Scenarios_10'!E10,0))-(IF(0=0,0,IF('Scenarios_10'!C10="uniform_pct",'Inputs_Data'!E5*(1-(MIN('Scenarios_10'!G10,'Assumptions'!B10))),IF('Scenarios_10'!C10="electricity_only_pct",('Inputs_Data'!C5*(1-(MIN('Scenarios_10'!G10,'Assumptions'!B10))))+'Inputs_Data'!D5,0+('Inputs_Data'!D5*(1-AVERAGE('Assumptions'!B6,'Assumptions'!B7,'Assumptions'!B8,'Assumptions'!B9)))))))</f>
        <v/>
      </c>
      <c r="L82" s="9">
        <f>(0)+(K82)</f>
        <v/>
      </c>
    </row>
    <row r="83">
      <c r="A83" s="5" t="n">
        <v>1</v>
      </c>
      <c r="B83" s="9">
        <f>IF(1=0,-'Inputs_Data'!H5,0)</f>
        <v/>
      </c>
      <c r="C83" s="9">
        <f>IF(1=0,0,'Inputs_Data'!B6)</f>
        <v/>
      </c>
      <c r="D83" s="9">
        <f>IF(1=0,0,'Inputs_Data'!E6)</f>
        <v/>
      </c>
      <c r="E83" s="9">
        <f>(IF(1=0,-'Inputs_Data'!H5,0))+(IF(1=0,0,'Inputs_Data'!B6))-(IF(1=0,0,'Inputs_Data'!E6))</f>
        <v/>
      </c>
      <c r="F83" s="9">
        <f>(F82)+(E83)</f>
        <v/>
      </c>
      <c r="G83" s="9">
        <f>IF(1=0,-'Inputs_Data'!H5,0)</f>
        <v/>
      </c>
      <c r="H83" s="9">
        <f>IF(AND(1&gt;=1,1&lt;='Scenarios_10'!B10),MAX(0,(MAX(0,'Scenarios_10'!D10-'Scenarios_10'!E10/'Scenarios_10'!B10))-IF(AND(1&gt;('Scenarios_10'!B10-4),1&lt;='Scenarios_10'!B10),'Scenarios_10'!F10,0)),0)</f>
        <v/>
      </c>
      <c r="I83" s="9">
        <f>IF(1=0,'Scenarios_10'!E10,0)</f>
        <v/>
      </c>
      <c r="J83" s="9">
        <f>IF(1=0,0,IF('Scenarios_10'!C10="uniform_pct",'Inputs_Data'!E6*(1-(MIN('Scenarios_10'!G10,'Assumptions'!B10))),IF('Scenarios_10'!C10="electricity_only_pct",('Inputs_Data'!C6*(1-(MIN('Scenarios_10'!G10,'Assumptions'!B10))))+'Inputs_Data'!D6,0+('Inputs_Data'!D6*(1-AVERAGE('Assumptions'!B6,'Assumptions'!B7,'Assumptions'!B8,'Assumptions'!B9))))))</f>
        <v/>
      </c>
      <c r="K83" s="9">
        <f>(IF(1=0,-'Inputs_Data'!H5,0))+(IF(AND(1&gt;=1,1&lt;='Scenarios_10'!B10),MAX(0,(MAX(0,'Scenarios_10'!D10-'Scenarios_10'!E10/'Scenarios_10'!B10))-IF(AND(1&gt;('Scenarios_10'!B10-4),1&lt;='Scenarios_10'!B10),'Scenarios_10'!F10,0)),0))+(IF(1=0,'Scenarios_10'!E10,0))-(IF(1=0,0,IF('Scenarios_10'!C10="uniform_pct",'Inputs_Data'!E6*(1-(MIN('Scenarios_10'!G10,'Assumptions'!B10))),IF('Scenarios_10'!C10="electricity_only_pct",('Inputs_Data'!C6*(1-(MIN('Scenarios_10'!G10,'Assumptions'!B10))))+'Inputs_Data'!D6,0+('Inputs_Data'!D6*(1-AVERAGE('Assumptions'!B6,'Assumptions'!B7,'Assumptions'!B8,'Assumptions'!B9)))))))</f>
        <v/>
      </c>
      <c r="L83" s="9">
        <f>(L82)+(K83)</f>
        <v/>
      </c>
    </row>
    <row r="84">
      <c r="A84" s="5" t="n">
        <v>2</v>
      </c>
      <c r="B84" s="9">
        <f>IF(2=0,-'Inputs_Data'!H5,0)</f>
        <v/>
      </c>
      <c r="C84" s="9">
        <f>IF(2=0,0,'Inputs_Data'!B7)</f>
        <v/>
      </c>
      <c r="D84" s="9">
        <f>IF(2=0,0,'Inputs_Data'!E7)</f>
        <v/>
      </c>
      <c r="E84" s="9">
        <f>(IF(2=0,-'Inputs_Data'!H5,0))+(IF(2=0,0,'Inputs_Data'!B7))-(IF(2=0,0,'Inputs_Data'!E7))</f>
        <v/>
      </c>
      <c r="F84" s="9">
        <f>(F83)+(E84)</f>
        <v/>
      </c>
      <c r="G84" s="9">
        <f>IF(2=0,-'Inputs_Data'!H5,0)</f>
        <v/>
      </c>
      <c r="H84" s="9">
        <f>IF(AND(2&gt;=1,2&lt;='Scenarios_10'!B10),MAX(0,(MAX(0,'Scenarios_10'!D10-'Scenarios_10'!E10/'Scenarios_10'!B10))-IF(AND(2&gt;('Scenarios_10'!B10-4),2&lt;='Scenarios_10'!B10),'Scenarios_10'!F10,0)),0)</f>
        <v/>
      </c>
      <c r="I84" s="9">
        <f>IF(2=0,'Scenarios_10'!E10,0)</f>
        <v/>
      </c>
      <c r="J84" s="9">
        <f>IF(2=0,0,IF('Scenarios_10'!C10="uniform_pct",'Inputs_Data'!E7*(1-(MIN('Scenarios_10'!G10,'Assumptions'!B10))),IF('Scenarios_10'!C10="electricity_only_pct",('Inputs_Data'!C7*(1-(MIN('Scenarios_10'!G10,'Assumptions'!B10))))+'Inputs_Data'!D7,0+('Inputs_Data'!D7*(1-AVERAGE('Assumptions'!B6,'Assumptions'!B7,'Assumptions'!B8,'Assumptions'!B9))))))</f>
        <v/>
      </c>
      <c r="K84" s="9">
        <f>(IF(2=0,-'Inputs_Data'!H5,0))+(IF(AND(2&gt;=1,2&lt;='Scenarios_10'!B10),MAX(0,(MAX(0,'Scenarios_10'!D10-'Scenarios_10'!E10/'Scenarios_10'!B10))-IF(AND(2&gt;('Scenarios_10'!B10-4),2&lt;='Scenarios_10'!B10),'Scenarios_10'!F10,0)),0))+(IF(2=0,'Scenarios_10'!E10,0))-(IF(2=0,0,IF('Scenarios_10'!C10="uniform_pct",'Inputs_Data'!E7*(1-(MIN('Scenarios_10'!G10,'Assumptions'!B10))),IF('Scenarios_10'!C10="electricity_only_pct",('Inputs_Data'!C7*(1-(MIN('Scenarios_10'!G10,'Assumptions'!B10))))+'Inputs_Data'!D7,0+('Inputs_Data'!D7*(1-AVERAGE('Assumptions'!B6,'Assumptions'!B7,'Assumptions'!B8,'Assumptions'!B9)))))))</f>
        <v/>
      </c>
      <c r="L84" s="9">
        <f>(L83)+(K84)</f>
        <v/>
      </c>
    </row>
    <row r="85">
      <c r="A85" s="5" t="n">
        <v>3</v>
      </c>
      <c r="B85" s="9">
        <f>IF(3=0,-'Inputs_Data'!H5,0)</f>
        <v/>
      </c>
      <c r="C85" s="9">
        <f>IF(3=0,0,'Inputs_Data'!B8)</f>
        <v/>
      </c>
      <c r="D85" s="9">
        <f>IF(3=0,0,'Inputs_Data'!E8)</f>
        <v/>
      </c>
      <c r="E85" s="9">
        <f>(IF(3=0,-'Inputs_Data'!H5,0))+(IF(3=0,0,'Inputs_Data'!B8))-(IF(3=0,0,'Inputs_Data'!E8))</f>
        <v/>
      </c>
      <c r="F85" s="9">
        <f>(F84)+(E85)</f>
        <v/>
      </c>
      <c r="G85" s="9">
        <f>IF(3=0,-'Inputs_Data'!H5,0)</f>
        <v/>
      </c>
      <c r="H85" s="9">
        <f>IF(AND(3&gt;=1,3&lt;='Scenarios_10'!B10),MAX(0,(MAX(0,'Scenarios_10'!D10-'Scenarios_10'!E10/'Scenarios_10'!B10))-IF(AND(3&gt;('Scenarios_10'!B10-4),3&lt;='Scenarios_10'!B10),'Scenarios_10'!F10,0)),0)</f>
        <v/>
      </c>
      <c r="I85" s="9">
        <f>IF(3=0,'Scenarios_10'!E10,0)</f>
        <v/>
      </c>
      <c r="J85" s="9">
        <f>IF(3=0,0,IF('Scenarios_10'!C10="uniform_pct",'Inputs_Data'!E8*(1-(MIN('Scenarios_10'!G10,'Assumptions'!B10))),IF('Scenarios_10'!C10="electricity_only_pct",('Inputs_Data'!C8*(1-(MIN('Scenarios_10'!G10,'Assumptions'!B10))))+'Inputs_Data'!D8,0+('Inputs_Data'!D8*(1-AVERAGE('Assumptions'!B6,'Assumptions'!B7,'Assumptions'!B8,'Assumptions'!B9))))))</f>
        <v/>
      </c>
      <c r="K85" s="9">
        <f>(IF(3=0,-'Inputs_Data'!H5,0))+(IF(AND(3&gt;=1,3&lt;='Scenarios_10'!B10),MAX(0,(MAX(0,'Scenarios_10'!D10-'Scenarios_10'!E10/'Scenarios_10'!B10))-IF(AND(3&gt;('Scenarios_10'!B10-4),3&lt;='Scenarios_10'!B10),'Scenarios_10'!F10,0)),0))+(IF(3=0,'Scenarios_10'!E10,0))-(IF(3=0,0,IF('Scenarios_10'!C10="uniform_pct",'Inputs_Data'!E8*(1-(MIN('Scenarios_10'!G10,'Assumptions'!B10))),IF('Scenarios_10'!C10="electricity_only_pct",('Inputs_Data'!C8*(1-(MIN('Scenarios_10'!G10,'Assumptions'!B10))))+'Inputs_Data'!D8,0+('Inputs_Data'!D8*(1-AVERAGE('Assumptions'!B6,'Assumptions'!B7,'Assumptions'!B8,'Assumptions'!B9)))))))</f>
        <v/>
      </c>
      <c r="L85" s="9">
        <f>(L84)+(K85)</f>
        <v/>
      </c>
    </row>
    <row r="86">
      <c r="A86" s="5" t="n">
        <v>4</v>
      </c>
      <c r="B86" s="9">
        <f>IF(4=0,-'Inputs_Data'!H5,0)</f>
        <v/>
      </c>
      <c r="C86" s="9">
        <f>IF(4=0,0,'Inputs_Data'!B9)</f>
        <v/>
      </c>
      <c r="D86" s="9">
        <f>IF(4=0,0,'Inputs_Data'!E9)</f>
        <v/>
      </c>
      <c r="E86" s="9">
        <f>(IF(4=0,-'Inputs_Data'!H5,0))+(IF(4=0,0,'Inputs_Data'!B9))-(IF(4=0,0,'Inputs_Data'!E9))</f>
        <v/>
      </c>
      <c r="F86" s="9">
        <f>(F85)+(E86)</f>
        <v/>
      </c>
      <c r="G86" s="9">
        <f>IF(4=0,-'Inputs_Data'!H5,0)</f>
        <v/>
      </c>
      <c r="H86" s="9">
        <f>IF(AND(4&gt;=1,4&lt;='Scenarios_10'!B10),MAX(0,(MAX(0,'Scenarios_10'!D10-'Scenarios_10'!E10/'Scenarios_10'!B10))-IF(AND(4&gt;('Scenarios_10'!B10-4),4&lt;='Scenarios_10'!B10),'Scenarios_10'!F10,0)),0)</f>
        <v/>
      </c>
      <c r="I86" s="9">
        <f>IF(4=0,'Scenarios_10'!E10,0)</f>
        <v/>
      </c>
      <c r="J86" s="9">
        <f>IF(4=0,0,IF('Scenarios_10'!C10="uniform_pct",'Inputs_Data'!E9*(1-(MIN('Scenarios_10'!G10,'Assumptions'!B10))),IF('Scenarios_10'!C10="electricity_only_pct",('Inputs_Data'!C9*(1-(MIN('Scenarios_10'!G10,'Assumptions'!B10))))+'Inputs_Data'!D9,0+('Inputs_Data'!D9*(1-AVERAGE('Assumptions'!B6,'Assumptions'!B7,'Assumptions'!B8,'Assumptions'!B9))))))</f>
        <v/>
      </c>
      <c r="K86" s="9">
        <f>(IF(4=0,-'Inputs_Data'!H5,0))+(IF(AND(4&gt;=1,4&lt;='Scenarios_10'!B10),MAX(0,(MAX(0,'Scenarios_10'!D10-'Scenarios_10'!E10/'Scenarios_10'!B10))-IF(AND(4&gt;('Scenarios_10'!B10-4),4&lt;='Scenarios_10'!B10),'Scenarios_10'!F10,0)),0))+(IF(4=0,'Scenarios_10'!E10,0))-(IF(4=0,0,IF('Scenarios_10'!C10="uniform_pct",'Inputs_Data'!E9*(1-(MIN('Scenarios_10'!G10,'Assumptions'!B10))),IF('Scenarios_10'!C10="electricity_only_pct",('Inputs_Data'!C9*(1-(MIN('Scenarios_10'!G10,'Assumptions'!B10))))+'Inputs_Data'!D9,0+('Inputs_Data'!D9*(1-AVERAGE('Assumptions'!B6,'Assumptions'!B7,'Assumptions'!B8,'Assumptions'!B9)))))))</f>
        <v/>
      </c>
      <c r="L86" s="9">
        <f>(L85)+(K86)</f>
        <v/>
      </c>
    </row>
    <row r="87">
      <c r="A87" s="5" t="n">
        <v>5</v>
      </c>
      <c r="B87" s="9">
        <f>IF(5=0,-'Inputs_Data'!H5,0)</f>
        <v/>
      </c>
      <c r="C87" s="9">
        <f>IF(5=0,0,'Inputs_Data'!B10)</f>
        <v/>
      </c>
      <c r="D87" s="9">
        <f>IF(5=0,0,'Inputs_Data'!E10)</f>
        <v/>
      </c>
      <c r="E87" s="9">
        <f>(IF(5=0,-'Inputs_Data'!H5,0))+(IF(5=0,0,'Inputs_Data'!B10))-(IF(5=0,0,'Inputs_Data'!E10))</f>
        <v/>
      </c>
      <c r="F87" s="9">
        <f>(F86)+(E87)</f>
        <v/>
      </c>
      <c r="G87" s="9">
        <f>IF(5=0,-'Inputs_Data'!H5,0)</f>
        <v/>
      </c>
      <c r="H87" s="9">
        <f>IF(AND(5&gt;=1,5&lt;='Scenarios_10'!B10),MAX(0,(MAX(0,'Scenarios_10'!D10-'Scenarios_10'!E10/'Scenarios_10'!B10))-IF(AND(5&gt;('Scenarios_10'!B10-4),5&lt;='Scenarios_10'!B10),'Scenarios_10'!F10,0)),0)</f>
        <v/>
      </c>
      <c r="I87" s="9">
        <f>IF(5=0,'Scenarios_10'!E10,0)</f>
        <v/>
      </c>
      <c r="J87" s="9">
        <f>IF(5=0,0,IF('Scenarios_10'!C10="uniform_pct",'Inputs_Data'!E10*(1-(MIN('Scenarios_10'!G10,'Assumptions'!B10))),IF('Scenarios_10'!C10="electricity_only_pct",('Inputs_Data'!C10*(1-(MIN('Scenarios_10'!G10,'Assumptions'!B10))))+'Inputs_Data'!D10,0+('Inputs_Data'!D10*(1-AVERAGE('Assumptions'!B6,'Assumptions'!B7,'Assumptions'!B8,'Assumptions'!B9))))))</f>
        <v/>
      </c>
      <c r="K87" s="9">
        <f>(IF(5=0,-'Inputs_Data'!H5,0))+(IF(AND(5&gt;=1,5&lt;='Scenarios_10'!B10),MAX(0,(MAX(0,'Scenarios_10'!D10-'Scenarios_10'!E10/'Scenarios_10'!B10))-IF(AND(5&gt;('Scenarios_10'!B10-4),5&lt;='Scenarios_10'!B10),'Scenarios_10'!F10,0)),0))+(IF(5=0,'Scenarios_10'!E10,0))-(IF(5=0,0,IF('Scenarios_10'!C10="uniform_pct",'Inputs_Data'!E10*(1-(MIN('Scenarios_10'!G10,'Assumptions'!B10))),IF('Scenarios_10'!C10="electricity_only_pct",('Inputs_Data'!C10*(1-(MIN('Scenarios_10'!G10,'Assumptions'!B10))))+'Inputs_Data'!D10,0+('Inputs_Data'!D10*(1-AVERAGE('Assumptions'!B6,'Assumptions'!B7,'Assumptions'!B8,'Assumptions'!B9)))))))</f>
        <v/>
      </c>
      <c r="L87" s="9">
        <f>(L86)+(K87)</f>
        <v/>
      </c>
    </row>
    <row r="88">
      <c r="A88" s="5" t="n">
        <v>6</v>
      </c>
      <c r="B88" s="9">
        <f>IF(6=0,-'Inputs_Data'!H5,0)</f>
        <v/>
      </c>
      <c r="C88" s="9">
        <f>IF(6=0,0,'Inputs_Data'!B11)</f>
        <v/>
      </c>
      <c r="D88" s="9">
        <f>IF(6=0,0,'Inputs_Data'!E11)</f>
        <v/>
      </c>
      <c r="E88" s="9">
        <f>(IF(6=0,-'Inputs_Data'!H5,0))+(IF(6=0,0,'Inputs_Data'!B11))-(IF(6=0,0,'Inputs_Data'!E11))</f>
        <v/>
      </c>
      <c r="F88" s="9">
        <f>(F87)+(E88)</f>
        <v/>
      </c>
      <c r="G88" s="9">
        <f>IF(6=0,-'Inputs_Data'!H5,0)</f>
        <v/>
      </c>
      <c r="H88" s="9">
        <f>IF(AND(6&gt;=1,6&lt;='Scenarios_10'!B10),MAX(0,(MAX(0,'Scenarios_10'!D10-'Scenarios_10'!E10/'Scenarios_10'!B10))-IF(AND(6&gt;('Scenarios_10'!B10-4),6&lt;='Scenarios_10'!B10),'Scenarios_10'!F10,0)),0)</f>
        <v/>
      </c>
      <c r="I88" s="9">
        <f>IF(6=0,'Scenarios_10'!E10,0)</f>
        <v/>
      </c>
      <c r="J88" s="9">
        <f>IF(6=0,0,IF('Scenarios_10'!C10="uniform_pct",'Inputs_Data'!E11*(1-(MIN('Scenarios_10'!G10,'Assumptions'!B10))),IF('Scenarios_10'!C10="electricity_only_pct",('Inputs_Data'!C11*(1-(MIN('Scenarios_10'!G10,'Assumptions'!B10))))+'Inputs_Data'!D11,0+('Inputs_Data'!D11*(1-AVERAGE('Assumptions'!B6,'Assumptions'!B7,'Assumptions'!B8,'Assumptions'!B9))))))</f>
        <v/>
      </c>
      <c r="K88" s="9">
        <f>(IF(6=0,-'Inputs_Data'!H5,0))+(IF(AND(6&gt;=1,6&lt;='Scenarios_10'!B10),MAX(0,(MAX(0,'Scenarios_10'!D10-'Scenarios_10'!E10/'Scenarios_10'!B10))-IF(AND(6&gt;('Scenarios_10'!B10-4),6&lt;='Scenarios_10'!B10),'Scenarios_10'!F10,0)),0))+(IF(6=0,'Scenarios_10'!E10,0))-(IF(6=0,0,IF('Scenarios_10'!C10="uniform_pct",'Inputs_Data'!E11*(1-(MIN('Scenarios_10'!G10,'Assumptions'!B10))),IF('Scenarios_10'!C10="electricity_only_pct",('Inputs_Data'!C11*(1-(MIN('Scenarios_10'!G10,'Assumptions'!B10))))+'Inputs_Data'!D11,0+('Inputs_Data'!D11*(1-AVERAGE('Assumptions'!B6,'Assumptions'!B7,'Assumptions'!B8,'Assumptions'!B9)))))))</f>
        <v/>
      </c>
      <c r="L88" s="9">
        <f>(L87)+(K88)</f>
        <v/>
      </c>
    </row>
    <row r="89">
      <c r="A89" s="5" t="n">
        <v>7</v>
      </c>
      <c r="B89" s="9">
        <f>IF(7=0,-'Inputs_Data'!H5,0)</f>
        <v/>
      </c>
      <c r="C89" s="9">
        <f>IF(7=0,0,'Inputs_Data'!B12)</f>
        <v/>
      </c>
      <c r="D89" s="9">
        <f>IF(7=0,0,'Inputs_Data'!E12)</f>
        <v/>
      </c>
      <c r="E89" s="9">
        <f>(IF(7=0,-'Inputs_Data'!H5,0))+(IF(7=0,0,'Inputs_Data'!B12))-(IF(7=0,0,'Inputs_Data'!E12))</f>
        <v/>
      </c>
      <c r="F89" s="9">
        <f>(F88)+(E89)</f>
        <v/>
      </c>
      <c r="G89" s="9">
        <f>IF(7=0,-'Inputs_Data'!H5,0)</f>
        <v/>
      </c>
      <c r="H89" s="9">
        <f>IF(AND(7&gt;=1,7&lt;='Scenarios_10'!B10),MAX(0,(MAX(0,'Scenarios_10'!D10-'Scenarios_10'!E10/'Scenarios_10'!B10))-IF(AND(7&gt;('Scenarios_10'!B10-4),7&lt;='Scenarios_10'!B10),'Scenarios_10'!F10,0)),0)</f>
        <v/>
      </c>
      <c r="I89" s="9">
        <f>IF(7=0,'Scenarios_10'!E10,0)</f>
        <v/>
      </c>
      <c r="J89" s="9">
        <f>IF(7=0,0,IF('Scenarios_10'!C10="uniform_pct",'Inputs_Data'!E12*(1-(MIN('Scenarios_10'!G10,'Assumptions'!B10))),IF('Scenarios_10'!C10="electricity_only_pct",('Inputs_Data'!C12*(1-(MIN('Scenarios_10'!G10,'Assumptions'!B10))))+'Inputs_Data'!D12,0+('Inputs_Data'!D12*(1-AVERAGE('Assumptions'!B6,'Assumptions'!B7,'Assumptions'!B8,'Assumptions'!B9))))))</f>
        <v/>
      </c>
      <c r="K89" s="9">
        <f>(IF(7=0,-'Inputs_Data'!H5,0))+(IF(AND(7&gt;=1,7&lt;='Scenarios_10'!B10),MAX(0,(MAX(0,'Scenarios_10'!D10-'Scenarios_10'!E10/'Scenarios_10'!B10))-IF(AND(7&gt;('Scenarios_10'!B10-4),7&lt;='Scenarios_10'!B10),'Scenarios_10'!F10,0)),0))+(IF(7=0,'Scenarios_10'!E10,0))-(IF(7=0,0,IF('Scenarios_10'!C10="uniform_pct",'Inputs_Data'!E12*(1-(MIN('Scenarios_10'!G10,'Assumptions'!B10))),IF('Scenarios_10'!C10="electricity_only_pct",('Inputs_Data'!C12*(1-(MIN('Scenarios_10'!G10,'Assumptions'!B10))))+'Inputs_Data'!D12,0+('Inputs_Data'!D12*(1-AVERAGE('Assumptions'!B6,'Assumptions'!B7,'Assumptions'!B8,'Assumptions'!B9)))))))</f>
        <v/>
      </c>
      <c r="L89" s="9">
        <f>(L88)+(K89)</f>
        <v/>
      </c>
    </row>
    <row r="90">
      <c r="A90" s="5" t="n">
        <v>8</v>
      </c>
      <c r="B90" s="9">
        <f>IF(8=0,-'Inputs_Data'!H5,0)</f>
        <v/>
      </c>
      <c r="C90" s="9">
        <f>IF(8=0,0,'Inputs_Data'!B13)</f>
        <v/>
      </c>
      <c r="D90" s="9">
        <f>IF(8=0,0,'Inputs_Data'!E13)</f>
        <v/>
      </c>
      <c r="E90" s="9">
        <f>(IF(8=0,-'Inputs_Data'!H5,0))+(IF(8=0,0,'Inputs_Data'!B13))-(IF(8=0,0,'Inputs_Data'!E13))</f>
        <v/>
      </c>
      <c r="F90" s="9">
        <f>(F89)+(E90)</f>
        <v/>
      </c>
      <c r="G90" s="9">
        <f>IF(8=0,-'Inputs_Data'!H5,0)</f>
        <v/>
      </c>
      <c r="H90" s="9">
        <f>IF(AND(8&gt;=1,8&lt;='Scenarios_10'!B10),MAX(0,(MAX(0,'Scenarios_10'!D10-'Scenarios_10'!E10/'Scenarios_10'!B10))-IF(AND(8&gt;('Scenarios_10'!B10-4),8&lt;='Scenarios_10'!B10),'Scenarios_10'!F10,0)),0)</f>
        <v/>
      </c>
      <c r="I90" s="9">
        <f>IF(8=0,'Scenarios_10'!E10,0)</f>
        <v/>
      </c>
      <c r="J90" s="9">
        <f>IF(8=0,0,IF('Scenarios_10'!C10="uniform_pct",'Inputs_Data'!E13*(1-(MIN('Scenarios_10'!G10,'Assumptions'!B10))),IF('Scenarios_10'!C10="electricity_only_pct",('Inputs_Data'!C13*(1-(MIN('Scenarios_10'!G10,'Assumptions'!B10))))+'Inputs_Data'!D13,0+('Inputs_Data'!D13*(1-AVERAGE('Assumptions'!B6,'Assumptions'!B7,'Assumptions'!B8,'Assumptions'!B9))))))</f>
        <v/>
      </c>
      <c r="K90" s="9">
        <f>(IF(8=0,-'Inputs_Data'!H5,0))+(IF(AND(8&gt;=1,8&lt;='Scenarios_10'!B10),MAX(0,(MAX(0,'Scenarios_10'!D10-'Scenarios_10'!E10/'Scenarios_10'!B10))-IF(AND(8&gt;('Scenarios_10'!B10-4),8&lt;='Scenarios_10'!B10),'Scenarios_10'!F10,0)),0))+(IF(8=0,'Scenarios_10'!E10,0))-(IF(8=0,0,IF('Scenarios_10'!C10="uniform_pct",'Inputs_Data'!E13*(1-(MIN('Scenarios_10'!G10,'Assumptions'!B10))),IF('Scenarios_10'!C10="electricity_only_pct",('Inputs_Data'!C13*(1-(MIN('Scenarios_10'!G10,'Assumptions'!B10))))+'Inputs_Data'!D13,0+('Inputs_Data'!D13*(1-AVERAGE('Assumptions'!B6,'Assumptions'!B7,'Assumptions'!B8,'Assumptions'!B9)))))))</f>
        <v/>
      </c>
      <c r="L90" s="9">
        <f>(L89)+(K90)</f>
        <v/>
      </c>
    </row>
    <row r="91">
      <c r="A91" s="5" t="n">
        <v>9</v>
      </c>
      <c r="B91" s="9">
        <f>IF(9=0,-'Inputs_Data'!H5,0)</f>
        <v/>
      </c>
      <c r="C91" s="9">
        <f>IF(9=0,0,'Inputs_Data'!B14)</f>
        <v/>
      </c>
      <c r="D91" s="9">
        <f>IF(9=0,0,'Inputs_Data'!E14)</f>
        <v/>
      </c>
      <c r="E91" s="9">
        <f>(IF(9=0,-'Inputs_Data'!H5,0))+(IF(9=0,0,'Inputs_Data'!B14))-(IF(9=0,0,'Inputs_Data'!E14))</f>
        <v/>
      </c>
      <c r="F91" s="9">
        <f>(F90)+(E91)</f>
        <v/>
      </c>
      <c r="G91" s="9">
        <f>IF(9=0,-'Inputs_Data'!H5,0)</f>
        <v/>
      </c>
      <c r="H91" s="9">
        <f>IF(AND(9&gt;=1,9&lt;='Scenarios_10'!B10),MAX(0,(MAX(0,'Scenarios_10'!D10-'Scenarios_10'!E10/'Scenarios_10'!B10))-IF(AND(9&gt;('Scenarios_10'!B10-4),9&lt;='Scenarios_10'!B10),'Scenarios_10'!F10,0)),0)</f>
        <v/>
      </c>
      <c r="I91" s="9">
        <f>IF(9=0,'Scenarios_10'!E10,0)</f>
        <v/>
      </c>
      <c r="J91" s="9">
        <f>IF(9=0,0,IF('Scenarios_10'!C10="uniform_pct",'Inputs_Data'!E14*(1-(MIN('Scenarios_10'!G10,'Assumptions'!B10))),IF('Scenarios_10'!C10="electricity_only_pct",('Inputs_Data'!C14*(1-(MIN('Scenarios_10'!G10,'Assumptions'!B10))))+'Inputs_Data'!D14,0+('Inputs_Data'!D14*(1-AVERAGE('Assumptions'!B6,'Assumptions'!B7,'Assumptions'!B8,'Assumptions'!B9))))))</f>
        <v/>
      </c>
      <c r="K91" s="9">
        <f>(IF(9=0,-'Inputs_Data'!H5,0))+(IF(AND(9&gt;=1,9&lt;='Scenarios_10'!B10),MAX(0,(MAX(0,'Scenarios_10'!D10-'Scenarios_10'!E10/'Scenarios_10'!B10))-IF(AND(9&gt;('Scenarios_10'!B10-4),9&lt;='Scenarios_10'!B10),'Scenarios_10'!F10,0)),0))+(IF(9=0,'Scenarios_10'!E10,0))-(IF(9=0,0,IF('Scenarios_10'!C10="uniform_pct",'Inputs_Data'!E14*(1-(MIN('Scenarios_10'!G10,'Assumptions'!B10))),IF('Scenarios_10'!C10="electricity_only_pct",('Inputs_Data'!C14*(1-(MIN('Scenarios_10'!G10,'Assumptions'!B10))))+'Inputs_Data'!D14,0+('Inputs_Data'!D14*(1-AVERAGE('Assumptions'!B6,'Assumptions'!B7,'Assumptions'!B8,'Assumptions'!B9)))))))</f>
        <v/>
      </c>
      <c r="L91" s="9">
        <f>(L90)+(K91)</f>
        <v/>
      </c>
    </row>
    <row r="92">
      <c r="A92" s="5" t="n">
        <v>10</v>
      </c>
      <c r="B92" s="9">
        <f>IF(10=0,-'Inputs_Data'!H5,0)</f>
        <v/>
      </c>
      <c r="C92" s="9">
        <f>IF(10=0,0,'Inputs_Data'!B15)</f>
        <v/>
      </c>
      <c r="D92" s="9">
        <f>IF(10=0,0,'Inputs_Data'!E15)</f>
        <v/>
      </c>
      <c r="E92" s="9">
        <f>(IF(10=0,-'Inputs_Data'!H5,0))+(IF(10=0,0,'Inputs_Data'!B15))-(IF(10=0,0,'Inputs_Data'!E15))</f>
        <v/>
      </c>
      <c r="F92" s="9">
        <f>(F91)+(E92)</f>
        <v/>
      </c>
      <c r="G92" s="9">
        <f>IF(10=0,-'Inputs_Data'!H5,0)</f>
        <v/>
      </c>
      <c r="H92" s="9">
        <f>IF(AND(10&gt;=1,10&lt;='Scenarios_10'!B10),MAX(0,(MAX(0,'Scenarios_10'!D10-'Scenarios_10'!E10/'Scenarios_10'!B10))-IF(AND(10&gt;('Scenarios_10'!B10-4),10&lt;='Scenarios_10'!B10),'Scenarios_10'!F10,0)),0)</f>
        <v/>
      </c>
      <c r="I92" s="9">
        <f>IF(10=0,'Scenarios_10'!E10,0)</f>
        <v/>
      </c>
      <c r="J92" s="9">
        <f>IF(10=0,0,IF('Scenarios_10'!C10="uniform_pct",'Inputs_Data'!E15*(1-(MIN('Scenarios_10'!G10,'Assumptions'!B10))),IF('Scenarios_10'!C10="electricity_only_pct",('Inputs_Data'!C15*(1-(MIN('Scenarios_10'!G10,'Assumptions'!B10))))+'Inputs_Data'!D15,0+('Inputs_Data'!D15*(1-AVERAGE('Assumptions'!B6,'Assumptions'!B7,'Assumptions'!B8,'Assumptions'!B9))))))</f>
        <v/>
      </c>
      <c r="K92" s="9">
        <f>(IF(10=0,-'Inputs_Data'!H5,0))+(IF(AND(10&gt;=1,10&lt;='Scenarios_10'!B10),MAX(0,(MAX(0,'Scenarios_10'!D10-'Scenarios_10'!E10/'Scenarios_10'!B10))-IF(AND(10&gt;('Scenarios_10'!B10-4),10&lt;='Scenarios_10'!B10),'Scenarios_10'!F10,0)),0))+(IF(10=0,'Scenarios_10'!E10,0))-(IF(10=0,0,IF('Scenarios_10'!C10="uniform_pct",'Inputs_Data'!E15*(1-(MIN('Scenarios_10'!G10,'Assumptions'!B10))),IF('Scenarios_10'!C10="electricity_only_pct",('Inputs_Data'!C15*(1-(MIN('Scenarios_10'!G10,'Assumptions'!B10))))+'Inputs_Data'!D15,0+('Inputs_Data'!D15*(1-AVERAGE('Assumptions'!B6,'Assumptions'!B7,'Assumptions'!B8,'Assumptions'!B9)))))))</f>
        <v/>
      </c>
      <c r="L92" s="9">
        <f>(L91)+(K92)</f>
        <v/>
      </c>
    </row>
    <row r="95">
      <c r="A95" s="6" t="inlineStr">
        <is>
          <t>Tier: ='Scenarios_10'!A11</t>
        </is>
      </c>
    </row>
    <row r="96">
      <c r="A96" s="4" t="inlineStr">
        <is>
          <t>year</t>
        </is>
      </c>
      <c r="B96" s="4" t="inlineStr">
        <is>
          <t>trust_capex</t>
        </is>
      </c>
      <c r="C96" s="4" t="inlineStr">
        <is>
          <t>trust_fee</t>
        </is>
      </c>
      <c r="D96" s="4" t="inlineStr">
        <is>
          <t>trust_cash_opex</t>
        </is>
      </c>
      <c r="E96" s="4" t="inlineStr">
        <is>
          <t>trust_net_cf</t>
        </is>
      </c>
      <c r="F96" s="4" t="inlineStr">
        <is>
          <t>trust_cum_cf</t>
        </is>
      </c>
      <c r="G96" s="4" t="inlineStr">
        <is>
          <t>laas_capex</t>
        </is>
      </c>
      <c r="H96" s="4" t="inlineStr">
        <is>
          <t>laas_fee</t>
        </is>
      </c>
      <c r="I96" s="4" t="inlineStr">
        <is>
          <t>laas_upfront</t>
        </is>
      </c>
      <c r="J96" s="4" t="inlineStr">
        <is>
          <t>laas_cash_opex</t>
        </is>
      </c>
      <c r="K96" s="4" t="inlineStr">
        <is>
          <t>laas_net_cf</t>
        </is>
      </c>
      <c r="L96" s="4" t="inlineStr">
        <is>
          <t>laas_cum_cf</t>
        </is>
      </c>
    </row>
    <row r="97">
      <c r="A97" s="5" t="n">
        <v>0</v>
      </c>
      <c r="B97" s="9">
        <f>IF(0=0,-'Inputs_Data'!H5,0)</f>
        <v/>
      </c>
      <c r="C97" s="9">
        <f>IF(0=0,0,'Inputs_Data'!B5)</f>
        <v/>
      </c>
      <c r="D97" s="9">
        <f>IF(0=0,0,'Inputs_Data'!E5)</f>
        <v/>
      </c>
      <c r="E97" s="9">
        <f>(IF(0=0,-'Inputs_Data'!H5,0))+(IF(0=0,0,'Inputs_Data'!B5))-(IF(0=0,0,'Inputs_Data'!E5))</f>
        <v/>
      </c>
      <c r="F97" s="9">
        <f>(0)+(E97)</f>
        <v/>
      </c>
      <c r="G97" s="9">
        <f>IF(0=0,-'Inputs_Data'!H5,0)</f>
        <v/>
      </c>
      <c r="H97" s="9">
        <f>IF(AND(0&gt;=1,0&lt;='Scenarios_10'!B11),MAX(0,(MAX(0,'Scenarios_10'!D11-'Scenarios_10'!E11/'Scenarios_10'!B11))-IF(AND(0&gt;('Scenarios_10'!B11-4),0&lt;='Scenarios_10'!B11),'Scenarios_10'!F11,0)),0)</f>
        <v/>
      </c>
      <c r="I97" s="9">
        <f>IF(0=0,'Scenarios_10'!E11,0)</f>
        <v/>
      </c>
      <c r="J97" s="9">
        <f>IF(0=0,0,IF('Scenarios_10'!C11="uniform_pct",'Inputs_Data'!E5*(1-(MIN('Scenarios_10'!G11,'Assumptions'!B10))),IF('Scenarios_10'!C11="electricity_only_pct",('Inputs_Data'!C5*(1-(MIN('Scenarios_10'!G11,'Assumptions'!B10))))+'Inputs_Data'!D5,0+('Inputs_Data'!D5*(1-AVERAGE('Assumptions'!B6,'Assumptions'!B7,'Assumptions'!B8,'Assumptions'!B9))))))</f>
        <v/>
      </c>
      <c r="K97" s="9">
        <f>(IF(0=0,-'Inputs_Data'!H5,0))+(IF(AND(0&gt;=1,0&lt;='Scenarios_10'!B11),MAX(0,(MAX(0,'Scenarios_10'!D11-'Scenarios_10'!E11/'Scenarios_10'!B11))-IF(AND(0&gt;('Scenarios_10'!B11-4),0&lt;='Scenarios_10'!B11),'Scenarios_10'!F11,0)),0))+(IF(0=0,'Scenarios_10'!E11,0))-(IF(0=0,0,IF('Scenarios_10'!C11="uniform_pct",'Inputs_Data'!E5*(1-(MIN('Scenarios_10'!G11,'Assumptions'!B10))),IF('Scenarios_10'!C11="electricity_only_pct",('Inputs_Data'!C5*(1-(MIN('Scenarios_10'!G11,'Assumptions'!B10))))+'Inputs_Data'!D5,0+('Inputs_Data'!D5*(1-AVERAGE('Assumptions'!B6,'Assumptions'!B7,'Assumptions'!B8,'Assumptions'!B9)))))))</f>
        <v/>
      </c>
      <c r="L97" s="9">
        <f>(0)+(K97)</f>
        <v/>
      </c>
    </row>
    <row r="98">
      <c r="A98" s="5" t="n">
        <v>1</v>
      </c>
      <c r="B98" s="9">
        <f>IF(1=0,-'Inputs_Data'!H5,0)</f>
        <v/>
      </c>
      <c r="C98" s="9">
        <f>IF(1=0,0,'Inputs_Data'!B6)</f>
        <v/>
      </c>
      <c r="D98" s="9">
        <f>IF(1=0,0,'Inputs_Data'!E6)</f>
        <v/>
      </c>
      <c r="E98" s="9">
        <f>(IF(1=0,-'Inputs_Data'!H5,0))+(IF(1=0,0,'Inputs_Data'!B6))-(IF(1=0,0,'Inputs_Data'!E6))</f>
        <v/>
      </c>
      <c r="F98" s="9">
        <f>(F97)+(E98)</f>
        <v/>
      </c>
      <c r="G98" s="9">
        <f>IF(1=0,-'Inputs_Data'!H5,0)</f>
        <v/>
      </c>
      <c r="H98" s="9">
        <f>IF(AND(1&gt;=1,1&lt;='Scenarios_10'!B11),MAX(0,(MAX(0,'Scenarios_10'!D11-'Scenarios_10'!E11/'Scenarios_10'!B11))-IF(AND(1&gt;('Scenarios_10'!B11-4),1&lt;='Scenarios_10'!B11),'Scenarios_10'!F11,0)),0)</f>
        <v/>
      </c>
      <c r="I98" s="9">
        <f>IF(1=0,'Scenarios_10'!E11,0)</f>
        <v/>
      </c>
      <c r="J98" s="9">
        <f>IF(1=0,0,IF('Scenarios_10'!C11="uniform_pct",'Inputs_Data'!E6*(1-(MIN('Scenarios_10'!G11,'Assumptions'!B10))),IF('Scenarios_10'!C11="electricity_only_pct",('Inputs_Data'!C6*(1-(MIN('Scenarios_10'!G11,'Assumptions'!B10))))+'Inputs_Data'!D6,0+('Inputs_Data'!D6*(1-AVERAGE('Assumptions'!B6,'Assumptions'!B7,'Assumptions'!B8,'Assumptions'!B9))))))</f>
        <v/>
      </c>
      <c r="K98" s="9">
        <f>(IF(1=0,-'Inputs_Data'!H5,0))+(IF(AND(1&gt;=1,1&lt;='Scenarios_10'!B11),MAX(0,(MAX(0,'Scenarios_10'!D11-'Scenarios_10'!E11/'Scenarios_10'!B11))-IF(AND(1&gt;('Scenarios_10'!B11-4),1&lt;='Scenarios_10'!B11),'Scenarios_10'!F11,0)),0))+(IF(1=0,'Scenarios_10'!E11,0))-(IF(1=0,0,IF('Scenarios_10'!C11="uniform_pct",'Inputs_Data'!E6*(1-(MIN('Scenarios_10'!G11,'Assumptions'!B10))),IF('Scenarios_10'!C11="electricity_only_pct",('Inputs_Data'!C6*(1-(MIN('Scenarios_10'!G11,'Assumptions'!B10))))+'Inputs_Data'!D6,0+('Inputs_Data'!D6*(1-AVERAGE('Assumptions'!B6,'Assumptions'!B7,'Assumptions'!B8,'Assumptions'!B9)))))))</f>
        <v/>
      </c>
      <c r="L98" s="9">
        <f>(L97)+(K98)</f>
        <v/>
      </c>
    </row>
    <row r="99">
      <c r="A99" s="5" t="n">
        <v>2</v>
      </c>
      <c r="B99" s="9">
        <f>IF(2=0,-'Inputs_Data'!H5,0)</f>
        <v/>
      </c>
      <c r="C99" s="9">
        <f>IF(2=0,0,'Inputs_Data'!B7)</f>
        <v/>
      </c>
      <c r="D99" s="9">
        <f>IF(2=0,0,'Inputs_Data'!E7)</f>
        <v/>
      </c>
      <c r="E99" s="9">
        <f>(IF(2=0,-'Inputs_Data'!H5,0))+(IF(2=0,0,'Inputs_Data'!B7))-(IF(2=0,0,'Inputs_Data'!E7))</f>
        <v/>
      </c>
      <c r="F99" s="9">
        <f>(F98)+(E99)</f>
        <v/>
      </c>
      <c r="G99" s="9">
        <f>IF(2=0,-'Inputs_Data'!H5,0)</f>
        <v/>
      </c>
      <c r="H99" s="9">
        <f>IF(AND(2&gt;=1,2&lt;='Scenarios_10'!B11),MAX(0,(MAX(0,'Scenarios_10'!D11-'Scenarios_10'!E11/'Scenarios_10'!B11))-IF(AND(2&gt;('Scenarios_10'!B11-4),2&lt;='Scenarios_10'!B11),'Scenarios_10'!F11,0)),0)</f>
        <v/>
      </c>
      <c r="I99" s="9">
        <f>IF(2=0,'Scenarios_10'!E11,0)</f>
        <v/>
      </c>
      <c r="J99" s="9">
        <f>IF(2=0,0,IF('Scenarios_10'!C11="uniform_pct",'Inputs_Data'!E7*(1-(MIN('Scenarios_10'!G11,'Assumptions'!B10))),IF('Scenarios_10'!C11="electricity_only_pct",('Inputs_Data'!C7*(1-(MIN('Scenarios_10'!G11,'Assumptions'!B10))))+'Inputs_Data'!D7,0+('Inputs_Data'!D7*(1-AVERAGE('Assumptions'!B6,'Assumptions'!B7,'Assumptions'!B8,'Assumptions'!B9))))))</f>
        <v/>
      </c>
      <c r="K99" s="9">
        <f>(IF(2=0,-'Inputs_Data'!H5,0))+(IF(AND(2&gt;=1,2&lt;='Scenarios_10'!B11),MAX(0,(MAX(0,'Scenarios_10'!D11-'Scenarios_10'!E11/'Scenarios_10'!B11))-IF(AND(2&gt;('Scenarios_10'!B11-4),2&lt;='Scenarios_10'!B11),'Scenarios_10'!F11,0)),0))+(IF(2=0,'Scenarios_10'!E11,0))-(IF(2=0,0,IF('Scenarios_10'!C11="uniform_pct",'Inputs_Data'!E7*(1-(MIN('Scenarios_10'!G11,'Assumptions'!B10))),IF('Scenarios_10'!C11="electricity_only_pct",('Inputs_Data'!C7*(1-(MIN('Scenarios_10'!G11,'Assumptions'!B10))))+'Inputs_Data'!D7,0+('Inputs_Data'!D7*(1-AVERAGE('Assumptions'!B6,'Assumptions'!B7,'Assumptions'!B8,'Assumptions'!B9)))))))</f>
        <v/>
      </c>
      <c r="L99" s="9">
        <f>(L98)+(K99)</f>
        <v/>
      </c>
    </row>
    <row r="100">
      <c r="A100" s="5" t="n">
        <v>3</v>
      </c>
      <c r="B100" s="9">
        <f>IF(3=0,-'Inputs_Data'!H5,0)</f>
        <v/>
      </c>
      <c r="C100" s="9">
        <f>IF(3=0,0,'Inputs_Data'!B8)</f>
        <v/>
      </c>
      <c r="D100" s="9">
        <f>IF(3=0,0,'Inputs_Data'!E8)</f>
        <v/>
      </c>
      <c r="E100" s="9">
        <f>(IF(3=0,-'Inputs_Data'!H5,0))+(IF(3=0,0,'Inputs_Data'!B8))-(IF(3=0,0,'Inputs_Data'!E8))</f>
        <v/>
      </c>
      <c r="F100" s="9">
        <f>(F99)+(E100)</f>
        <v/>
      </c>
      <c r="G100" s="9">
        <f>IF(3=0,-'Inputs_Data'!H5,0)</f>
        <v/>
      </c>
      <c r="H100" s="9">
        <f>IF(AND(3&gt;=1,3&lt;='Scenarios_10'!B11),MAX(0,(MAX(0,'Scenarios_10'!D11-'Scenarios_10'!E11/'Scenarios_10'!B11))-IF(AND(3&gt;('Scenarios_10'!B11-4),3&lt;='Scenarios_10'!B11),'Scenarios_10'!F11,0)),0)</f>
        <v/>
      </c>
      <c r="I100" s="9">
        <f>IF(3=0,'Scenarios_10'!E11,0)</f>
        <v/>
      </c>
      <c r="J100" s="9">
        <f>IF(3=0,0,IF('Scenarios_10'!C11="uniform_pct",'Inputs_Data'!E8*(1-(MIN('Scenarios_10'!G11,'Assumptions'!B10))),IF('Scenarios_10'!C11="electricity_only_pct",('Inputs_Data'!C8*(1-(MIN('Scenarios_10'!G11,'Assumptions'!B10))))+'Inputs_Data'!D8,0+('Inputs_Data'!D8*(1-AVERAGE('Assumptions'!B6,'Assumptions'!B7,'Assumptions'!B8,'Assumptions'!B9))))))</f>
        <v/>
      </c>
      <c r="K100" s="9">
        <f>(IF(3=0,-'Inputs_Data'!H5,0))+(IF(AND(3&gt;=1,3&lt;='Scenarios_10'!B11),MAX(0,(MAX(0,'Scenarios_10'!D11-'Scenarios_10'!E11/'Scenarios_10'!B11))-IF(AND(3&gt;('Scenarios_10'!B11-4),3&lt;='Scenarios_10'!B11),'Scenarios_10'!F11,0)),0))+(IF(3=0,'Scenarios_10'!E11,0))-(IF(3=0,0,IF('Scenarios_10'!C11="uniform_pct",'Inputs_Data'!E8*(1-(MIN('Scenarios_10'!G11,'Assumptions'!B10))),IF('Scenarios_10'!C11="electricity_only_pct",('Inputs_Data'!C8*(1-(MIN('Scenarios_10'!G11,'Assumptions'!B10))))+'Inputs_Data'!D8,0+('Inputs_Data'!D8*(1-AVERAGE('Assumptions'!B6,'Assumptions'!B7,'Assumptions'!B8,'Assumptions'!B9)))))))</f>
        <v/>
      </c>
      <c r="L100" s="9">
        <f>(L99)+(K100)</f>
        <v/>
      </c>
    </row>
    <row r="101">
      <c r="A101" s="5" t="n">
        <v>4</v>
      </c>
      <c r="B101" s="9">
        <f>IF(4=0,-'Inputs_Data'!H5,0)</f>
        <v/>
      </c>
      <c r="C101" s="9">
        <f>IF(4=0,0,'Inputs_Data'!B9)</f>
        <v/>
      </c>
      <c r="D101" s="9">
        <f>IF(4=0,0,'Inputs_Data'!E9)</f>
        <v/>
      </c>
      <c r="E101" s="9">
        <f>(IF(4=0,-'Inputs_Data'!H5,0))+(IF(4=0,0,'Inputs_Data'!B9))-(IF(4=0,0,'Inputs_Data'!E9))</f>
        <v/>
      </c>
      <c r="F101" s="9">
        <f>(F100)+(E101)</f>
        <v/>
      </c>
      <c r="G101" s="9">
        <f>IF(4=0,-'Inputs_Data'!H5,0)</f>
        <v/>
      </c>
      <c r="H101" s="9">
        <f>IF(AND(4&gt;=1,4&lt;='Scenarios_10'!B11),MAX(0,(MAX(0,'Scenarios_10'!D11-'Scenarios_10'!E11/'Scenarios_10'!B11))-IF(AND(4&gt;('Scenarios_10'!B11-4),4&lt;='Scenarios_10'!B11),'Scenarios_10'!F11,0)),0)</f>
        <v/>
      </c>
      <c r="I101" s="9">
        <f>IF(4=0,'Scenarios_10'!E11,0)</f>
        <v/>
      </c>
      <c r="J101" s="9">
        <f>IF(4=0,0,IF('Scenarios_10'!C11="uniform_pct",'Inputs_Data'!E9*(1-(MIN('Scenarios_10'!G11,'Assumptions'!B10))),IF('Scenarios_10'!C11="electricity_only_pct",('Inputs_Data'!C9*(1-(MIN('Scenarios_10'!G11,'Assumptions'!B10))))+'Inputs_Data'!D9,0+('Inputs_Data'!D9*(1-AVERAGE('Assumptions'!B6,'Assumptions'!B7,'Assumptions'!B8,'Assumptions'!B9))))))</f>
        <v/>
      </c>
      <c r="K101" s="9">
        <f>(IF(4=0,-'Inputs_Data'!H5,0))+(IF(AND(4&gt;=1,4&lt;='Scenarios_10'!B11),MAX(0,(MAX(0,'Scenarios_10'!D11-'Scenarios_10'!E11/'Scenarios_10'!B11))-IF(AND(4&gt;('Scenarios_10'!B11-4),4&lt;='Scenarios_10'!B11),'Scenarios_10'!F11,0)),0))+(IF(4=0,'Scenarios_10'!E11,0))-(IF(4=0,0,IF('Scenarios_10'!C11="uniform_pct",'Inputs_Data'!E9*(1-(MIN('Scenarios_10'!G11,'Assumptions'!B10))),IF('Scenarios_10'!C11="electricity_only_pct",('Inputs_Data'!C9*(1-(MIN('Scenarios_10'!G11,'Assumptions'!B10))))+'Inputs_Data'!D9,0+('Inputs_Data'!D9*(1-AVERAGE('Assumptions'!B6,'Assumptions'!B7,'Assumptions'!B8,'Assumptions'!B9)))))))</f>
        <v/>
      </c>
      <c r="L101" s="9">
        <f>(L100)+(K101)</f>
        <v/>
      </c>
    </row>
    <row r="102">
      <c r="A102" s="5" t="n">
        <v>5</v>
      </c>
      <c r="B102" s="9">
        <f>IF(5=0,-'Inputs_Data'!H5,0)</f>
        <v/>
      </c>
      <c r="C102" s="9">
        <f>IF(5=0,0,'Inputs_Data'!B10)</f>
        <v/>
      </c>
      <c r="D102" s="9">
        <f>IF(5=0,0,'Inputs_Data'!E10)</f>
        <v/>
      </c>
      <c r="E102" s="9">
        <f>(IF(5=0,-'Inputs_Data'!H5,0))+(IF(5=0,0,'Inputs_Data'!B10))-(IF(5=0,0,'Inputs_Data'!E10))</f>
        <v/>
      </c>
      <c r="F102" s="9">
        <f>(F101)+(E102)</f>
        <v/>
      </c>
      <c r="G102" s="9">
        <f>IF(5=0,-'Inputs_Data'!H5,0)</f>
        <v/>
      </c>
      <c r="H102" s="9">
        <f>IF(AND(5&gt;=1,5&lt;='Scenarios_10'!B11),MAX(0,(MAX(0,'Scenarios_10'!D11-'Scenarios_10'!E11/'Scenarios_10'!B11))-IF(AND(5&gt;('Scenarios_10'!B11-4),5&lt;='Scenarios_10'!B11),'Scenarios_10'!F11,0)),0)</f>
        <v/>
      </c>
      <c r="I102" s="9">
        <f>IF(5=0,'Scenarios_10'!E11,0)</f>
        <v/>
      </c>
      <c r="J102" s="9">
        <f>IF(5=0,0,IF('Scenarios_10'!C11="uniform_pct",'Inputs_Data'!E10*(1-(MIN('Scenarios_10'!G11,'Assumptions'!B10))),IF('Scenarios_10'!C11="electricity_only_pct",('Inputs_Data'!C10*(1-(MIN('Scenarios_10'!G11,'Assumptions'!B10))))+'Inputs_Data'!D10,0+('Inputs_Data'!D10*(1-AVERAGE('Assumptions'!B6,'Assumptions'!B7,'Assumptions'!B8,'Assumptions'!B9))))))</f>
        <v/>
      </c>
      <c r="K102" s="9">
        <f>(IF(5=0,-'Inputs_Data'!H5,0))+(IF(AND(5&gt;=1,5&lt;='Scenarios_10'!B11),MAX(0,(MAX(0,'Scenarios_10'!D11-'Scenarios_10'!E11/'Scenarios_10'!B11))-IF(AND(5&gt;('Scenarios_10'!B11-4),5&lt;='Scenarios_10'!B11),'Scenarios_10'!F11,0)),0))+(IF(5=0,'Scenarios_10'!E11,0))-(IF(5=0,0,IF('Scenarios_10'!C11="uniform_pct",'Inputs_Data'!E10*(1-(MIN('Scenarios_10'!G11,'Assumptions'!B10))),IF('Scenarios_10'!C11="electricity_only_pct",('Inputs_Data'!C10*(1-(MIN('Scenarios_10'!G11,'Assumptions'!B10))))+'Inputs_Data'!D10,0+('Inputs_Data'!D10*(1-AVERAGE('Assumptions'!B6,'Assumptions'!B7,'Assumptions'!B8,'Assumptions'!B9)))))))</f>
        <v/>
      </c>
      <c r="L102" s="9">
        <f>(L101)+(K102)</f>
        <v/>
      </c>
    </row>
    <row r="103">
      <c r="A103" s="5" t="n">
        <v>6</v>
      </c>
      <c r="B103" s="9">
        <f>IF(6=0,-'Inputs_Data'!H5,0)</f>
        <v/>
      </c>
      <c r="C103" s="9">
        <f>IF(6=0,0,'Inputs_Data'!B11)</f>
        <v/>
      </c>
      <c r="D103" s="9">
        <f>IF(6=0,0,'Inputs_Data'!E11)</f>
        <v/>
      </c>
      <c r="E103" s="9">
        <f>(IF(6=0,-'Inputs_Data'!H5,0))+(IF(6=0,0,'Inputs_Data'!B11))-(IF(6=0,0,'Inputs_Data'!E11))</f>
        <v/>
      </c>
      <c r="F103" s="9">
        <f>(F102)+(E103)</f>
        <v/>
      </c>
      <c r="G103" s="9">
        <f>IF(6=0,-'Inputs_Data'!H5,0)</f>
        <v/>
      </c>
      <c r="H103" s="9">
        <f>IF(AND(6&gt;=1,6&lt;='Scenarios_10'!B11),MAX(0,(MAX(0,'Scenarios_10'!D11-'Scenarios_10'!E11/'Scenarios_10'!B11))-IF(AND(6&gt;('Scenarios_10'!B11-4),6&lt;='Scenarios_10'!B11),'Scenarios_10'!F11,0)),0)</f>
        <v/>
      </c>
      <c r="I103" s="9">
        <f>IF(6=0,'Scenarios_10'!E11,0)</f>
        <v/>
      </c>
      <c r="J103" s="9">
        <f>IF(6=0,0,IF('Scenarios_10'!C11="uniform_pct",'Inputs_Data'!E11*(1-(MIN('Scenarios_10'!G11,'Assumptions'!B10))),IF('Scenarios_10'!C11="electricity_only_pct",('Inputs_Data'!C11*(1-(MIN('Scenarios_10'!G11,'Assumptions'!B10))))+'Inputs_Data'!D11,0+('Inputs_Data'!D11*(1-AVERAGE('Assumptions'!B6,'Assumptions'!B7,'Assumptions'!B8,'Assumptions'!B9))))))</f>
        <v/>
      </c>
      <c r="K103" s="9">
        <f>(IF(6=0,-'Inputs_Data'!H5,0))+(IF(AND(6&gt;=1,6&lt;='Scenarios_10'!B11),MAX(0,(MAX(0,'Scenarios_10'!D11-'Scenarios_10'!E11/'Scenarios_10'!B11))-IF(AND(6&gt;('Scenarios_10'!B11-4),6&lt;='Scenarios_10'!B11),'Scenarios_10'!F11,0)),0))+(IF(6=0,'Scenarios_10'!E11,0))-(IF(6=0,0,IF('Scenarios_10'!C11="uniform_pct",'Inputs_Data'!E11*(1-(MIN('Scenarios_10'!G11,'Assumptions'!B10))),IF('Scenarios_10'!C11="electricity_only_pct",('Inputs_Data'!C11*(1-(MIN('Scenarios_10'!G11,'Assumptions'!B10))))+'Inputs_Data'!D11,0+('Inputs_Data'!D11*(1-AVERAGE('Assumptions'!B6,'Assumptions'!B7,'Assumptions'!B8,'Assumptions'!B9)))))))</f>
        <v/>
      </c>
      <c r="L103" s="9">
        <f>(L102)+(K103)</f>
        <v/>
      </c>
    </row>
    <row r="104">
      <c r="A104" s="5" t="n">
        <v>7</v>
      </c>
      <c r="B104" s="9">
        <f>IF(7=0,-'Inputs_Data'!H5,0)</f>
        <v/>
      </c>
      <c r="C104" s="9">
        <f>IF(7=0,0,'Inputs_Data'!B12)</f>
        <v/>
      </c>
      <c r="D104" s="9">
        <f>IF(7=0,0,'Inputs_Data'!E12)</f>
        <v/>
      </c>
      <c r="E104" s="9">
        <f>(IF(7=0,-'Inputs_Data'!H5,0))+(IF(7=0,0,'Inputs_Data'!B12))-(IF(7=0,0,'Inputs_Data'!E12))</f>
        <v/>
      </c>
      <c r="F104" s="9">
        <f>(F103)+(E104)</f>
        <v/>
      </c>
      <c r="G104" s="9">
        <f>IF(7=0,-'Inputs_Data'!H5,0)</f>
        <v/>
      </c>
      <c r="H104" s="9">
        <f>IF(AND(7&gt;=1,7&lt;='Scenarios_10'!B11),MAX(0,(MAX(0,'Scenarios_10'!D11-'Scenarios_10'!E11/'Scenarios_10'!B11))-IF(AND(7&gt;('Scenarios_10'!B11-4),7&lt;='Scenarios_10'!B11),'Scenarios_10'!F11,0)),0)</f>
        <v/>
      </c>
      <c r="I104" s="9">
        <f>IF(7=0,'Scenarios_10'!E11,0)</f>
        <v/>
      </c>
      <c r="J104" s="9">
        <f>IF(7=0,0,IF('Scenarios_10'!C11="uniform_pct",'Inputs_Data'!E12*(1-(MIN('Scenarios_10'!G11,'Assumptions'!B10))),IF('Scenarios_10'!C11="electricity_only_pct",('Inputs_Data'!C12*(1-(MIN('Scenarios_10'!G11,'Assumptions'!B10))))+'Inputs_Data'!D12,0+('Inputs_Data'!D12*(1-AVERAGE('Assumptions'!B6,'Assumptions'!B7,'Assumptions'!B8,'Assumptions'!B9))))))</f>
        <v/>
      </c>
      <c r="K104" s="9">
        <f>(IF(7=0,-'Inputs_Data'!H5,0))+(IF(AND(7&gt;=1,7&lt;='Scenarios_10'!B11),MAX(0,(MAX(0,'Scenarios_10'!D11-'Scenarios_10'!E11/'Scenarios_10'!B11))-IF(AND(7&gt;('Scenarios_10'!B11-4),7&lt;='Scenarios_10'!B11),'Scenarios_10'!F11,0)),0))+(IF(7=0,'Scenarios_10'!E11,0))-(IF(7=0,0,IF('Scenarios_10'!C11="uniform_pct",'Inputs_Data'!E12*(1-(MIN('Scenarios_10'!G11,'Assumptions'!B10))),IF('Scenarios_10'!C11="electricity_only_pct",('Inputs_Data'!C12*(1-(MIN('Scenarios_10'!G11,'Assumptions'!B10))))+'Inputs_Data'!D12,0+('Inputs_Data'!D12*(1-AVERAGE('Assumptions'!B6,'Assumptions'!B7,'Assumptions'!B8,'Assumptions'!B9)))))))</f>
        <v/>
      </c>
      <c r="L104" s="9">
        <f>(L103)+(K104)</f>
        <v/>
      </c>
    </row>
    <row r="105">
      <c r="A105" s="5" t="n">
        <v>8</v>
      </c>
      <c r="B105" s="9">
        <f>IF(8=0,-'Inputs_Data'!H5,0)</f>
        <v/>
      </c>
      <c r="C105" s="9">
        <f>IF(8=0,0,'Inputs_Data'!B13)</f>
        <v/>
      </c>
      <c r="D105" s="9">
        <f>IF(8=0,0,'Inputs_Data'!E13)</f>
        <v/>
      </c>
      <c r="E105" s="9">
        <f>(IF(8=0,-'Inputs_Data'!H5,0))+(IF(8=0,0,'Inputs_Data'!B13))-(IF(8=0,0,'Inputs_Data'!E13))</f>
        <v/>
      </c>
      <c r="F105" s="9">
        <f>(F104)+(E105)</f>
        <v/>
      </c>
      <c r="G105" s="9">
        <f>IF(8=0,-'Inputs_Data'!H5,0)</f>
        <v/>
      </c>
      <c r="H105" s="9">
        <f>IF(AND(8&gt;=1,8&lt;='Scenarios_10'!B11),MAX(0,(MAX(0,'Scenarios_10'!D11-'Scenarios_10'!E11/'Scenarios_10'!B11))-IF(AND(8&gt;('Scenarios_10'!B11-4),8&lt;='Scenarios_10'!B11),'Scenarios_10'!F11,0)),0)</f>
        <v/>
      </c>
      <c r="I105" s="9">
        <f>IF(8=0,'Scenarios_10'!E11,0)</f>
        <v/>
      </c>
      <c r="J105" s="9">
        <f>IF(8=0,0,IF('Scenarios_10'!C11="uniform_pct",'Inputs_Data'!E13*(1-(MIN('Scenarios_10'!G11,'Assumptions'!B10))),IF('Scenarios_10'!C11="electricity_only_pct",('Inputs_Data'!C13*(1-(MIN('Scenarios_10'!G11,'Assumptions'!B10))))+'Inputs_Data'!D13,0+('Inputs_Data'!D13*(1-AVERAGE('Assumptions'!B6,'Assumptions'!B7,'Assumptions'!B8,'Assumptions'!B9))))))</f>
        <v/>
      </c>
      <c r="K105" s="9">
        <f>(IF(8=0,-'Inputs_Data'!H5,0))+(IF(AND(8&gt;=1,8&lt;='Scenarios_10'!B11),MAX(0,(MAX(0,'Scenarios_10'!D11-'Scenarios_10'!E11/'Scenarios_10'!B11))-IF(AND(8&gt;('Scenarios_10'!B11-4),8&lt;='Scenarios_10'!B11),'Scenarios_10'!F11,0)),0))+(IF(8=0,'Scenarios_10'!E11,0))-(IF(8=0,0,IF('Scenarios_10'!C11="uniform_pct",'Inputs_Data'!E13*(1-(MIN('Scenarios_10'!G11,'Assumptions'!B10))),IF('Scenarios_10'!C11="electricity_only_pct",('Inputs_Data'!C13*(1-(MIN('Scenarios_10'!G11,'Assumptions'!B10))))+'Inputs_Data'!D13,0+('Inputs_Data'!D13*(1-AVERAGE('Assumptions'!B6,'Assumptions'!B7,'Assumptions'!B8,'Assumptions'!B9)))))))</f>
        <v/>
      </c>
      <c r="L105" s="9">
        <f>(L104)+(K105)</f>
        <v/>
      </c>
    </row>
    <row r="106">
      <c r="A106" s="5" t="n">
        <v>9</v>
      </c>
      <c r="B106" s="9">
        <f>IF(9=0,-'Inputs_Data'!H5,0)</f>
        <v/>
      </c>
      <c r="C106" s="9">
        <f>IF(9=0,0,'Inputs_Data'!B14)</f>
        <v/>
      </c>
      <c r="D106" s="9">
        <f>IF(9=0,0,'Inputs_Data'!E14)</f>
        <v/>
      </c>
      <c r="E106" s="9">
        <f>(IF(9=0,-'Inputs_Data'!H5,0))+(IF(9=0,0,'Inputs_Data'!B14))-(IF(9=0,0,'Inputs_Data'!E14))</f>
        <v/>
      </c>
      <c r="F106" s="9">
        <f>(F105)+(E106)</f>
        <v/>
      </c>
      <c r="G106" s="9">
        <f>IF(9=0,-'Inputs_Data'!H5,0)</f>
        <v/>
      </c>
      <c r="H106" s="9">
        <f>IF(AND(9&gt;=1,9&lt;='Scenarios_10'!B11),MAX(0,(MAX(0,'Scenarios_10'!D11-'Scenarios_10'!E11/'Scenarios_10'!B11))-IF(AND(9&gt;('Scenarios_10'!B11-4),9&lt;='Scenarios_10'!B11),'Scenarios_10'!F11,0)),0)</f>
        <v/>
      </c>
      <c r="I106" s="9">
        <f>IF(9=0,'Scenarios_10'!E11,0)</f>
        <v/>
      </c>
      <c r="J106" s="9">
        <f>IF(9=0,0,IF('Scenarios_10'!C11="uniform_pct",'Inputs_Data'!E14*(1-(MIN('Scenarios_10'!G11,'Assumptions'!B10))),IF('Scenarios_10'!C11="electricity_only_pct",('Inputs_Data'!C14*(1-(MIN('Scenarios_10'!G11,'Assumptions'!B10))))+'Inputs_Data'!D14,0+('Inputs_Data'!D14*(1-AVERAGE('Assumptions'!B6,'Assumptions'!B7,'Assumptions'!B8,'Assumptions'!B9))))))</f>
        <v/>
      </c>
      <c r="K106" s="9">
        <f>(IF(9=0,-'Inputs_Data'!H5,0))+(IF(AND(9&gt;=1,9&lt;='Scenarios_10'!B11),MAX(0,(MAX(0,'Scenarios_10'!D11-'Scenarios_10'!E11/'Scenarios_10'!B11))-IF(AND(9&gt;('Scenarios_10'!B11-4),9&lt;='Scenarios_10'!B11),'Scenarios_10'!F11,0)),0))+(IF(9=0,'Scenarios_10'!E11,0))-(IF(9=0,0,IF('Scenarios_10'!C11="uniform_pct",'Inputs_Data'!E14*(1-(MIN('Scenarios_10'!G11,'Assumptions'!B10))),IF('Scenarios_10'!C11="electricity_only_pct",('Inputs_Data'!C14*(1-(MIN('Scenarios_10'!G11,'Assumptions'!B10))))+'Inputs_Data'!D14,0+('Inputs_Data'!D14*(1-AVERAGE('Assumptions'!B6,'Assumptions'!B7,'Assumptions'!B8,'Assumptions'!B9)))))))</f>
        <v/>
      </c>
      <c r="L106" s="9">
        <f>(L105)+(K106)</f>
        <v/>
      </c>
    </row>
    <row r="107">
      <c r="A107" s="5" t="n">
        <v>10</v>
      </c>
      <c r="B107" s="9">
        <f>IF(10=0,-'Inputs_Data'!H5,0)</f>
        <v/>
      </c>
      <c r="C107" s="9">
        <f>IF(10=0,0,'Inputs_Data'!B15)</f>
        <v/>
      </c>
      <c r="D107" s="9">
        <f>IF(10=0,0,'Inputs_Data'!E15)</f>
        <v/>
      </c>
      <c r="E107" s="9">
        <f>(IF(10=0,-'Inputs_Data'!H5,0))+(IF(10=0,0,'Inputs_Data'!B15))-(IF(10=0,0,'Inputs_Data'!E15))</f>
        <v/>
      </c>
      <c r="F107" s="9">
        <f>(F106)+(E107)</f>
        <v/>
      </c>
      <c r="G107" s="9">
        <f>IF(10=0,-'Inputs_Data'!H5,0)</f>
        <v/>
      </c>
      <c r="H107" s="9">
        <f>IF(AND(10&gt;=1,10&lt;='Scenarios_10'!B11),MAX(0,(MAX(0,'Scenarios_10'!D11-'Scenarios_10'!E11/'Scenarios_10'!B11))-IF(AND(10&gt;('Scenarios_10'!B11-4),10&lt;='Scenarios_10'!B11),'Scenarios_10'!F11,0)),0)</f>
        <v/>
      </c>
      <c r="I107" s="9">
        <f>IF(10=0,'Scenarios_10'!E11,0)</f>
        <v/>
      </c>
      <c r="J107" s="9">
        <f>IF(10=0,0,IF('Scenarios_10'!C11="uniform_pct",'Inputs_Data'!E15*(1-(MIN('Scenarios_10'!G11,'Assumptions'!B10))),IF('Scenarios_10'!C11="electricity_only_pct",('Inputs_Data'!C15*(1-(MIN('Scenarios_10'!G11,'Assumptions'!B10))))+'Inputs_Data'!D15,0+('Inputs_Data'!D15*(1-AVERAGE('Assumptions'!B6,'Assumptions'!B7,'Assumptions'!B8,'Assumptions'!B9))))))</f>
        <v/>
      </c>
      <c r="K107" s="9">
        <f>(IF(10=0,-'Inputs_Data'!H5,0))+(IF(AND(10&gt;=1,10&lt;='Scenarios_10'!B11),MAX(0,(MAX(0,'Scenarios_10'!D11-'Scenarios_10'!E11/'Scenarios_10'!B11))-IF(AND(10&gt;('Scenarios_10'!B11-4),10&lt;='Scenarios_10'!B11),'Scenarios_10'!F11,0)),0))+(IF(10=0,'Scenarios_10'!E11,0))-(IF(10=0,0,IF('Scenarios_10'!C11="uniform_pct",'Inputs_Data'!E15*(1-(MIN('Scenarios_10'!G11,'Assumptions'!B10))),IF('Scenarios_10'!C11="electricity_only_pct",('Inputs_Data'!C15*(1-(MIN('Scenarios_10'!G11,'Assumptions'!B10))))+'Inputs_Data'!D15,0+('Inputs_Data'!D15*(1-AVERAGE('Assumptions'!B6,'Assumptions'!B7,'Assumptions'!B8,'Assumptions'!B9)))))))</f>
        <v/>
      </c>
      <c r="L107" s="9">
        <f>(L106)+(K107)</f>
        <v/>
      </c>
    </row>
    <row r="110">
      <c r="A110" s="6" t="inlineStr">
        <is>
          <t>Tier: ='Scenarios_10'!A12</t>
        </is>
      </c>
    </row>
    <row r="111">
      <c r="A111" s="4" t="inlineStr">
        <is>
          <t>year</t>
        </is>
      </c>
      <c r="B111" s="4" t="inlineStr">
        <is>
          <t>trust_capex</t>
        </is>
      </c>
      <c r="C111" s="4" t="inlineStr">
        <is>
          <t>trust_fee</t>
        </is>
      </c>
      <c r="D111" s="4" t="inlineStr">
        <is>
          <t>trust_cash_opex</t>
        </is>
      </c>
      <c r="E111" s="4" t="inlineStr">
        <is>
          <t>trust_net_cf</t>
        </is>
      </c>
      <c r="F111" s="4" t="inlineStr">
        <is>
          <t>trust_cum_cf</t>
        </is>
      </c>
      <c r="G111" s="4" t="inlineStr">
        <is>
          <t>laas_capex</t>
        </is>
      </c>
      <c r="H111" s="4" t="inlineStr">
        <is>
          <t>laas_fee</t>
        </is>
      </c>
      <c r="I111" s="4" t="inlineStr">
        <is>
          <t>laas_upfront</t>
        </is>
      </c>
      <c r="J111" s="4" t="inlineStr">
        <is>
          <t>laas_cash_opex</t>
        </is>
      </c>
      <c r="K111" s="4" t="inlineStr">
        <is>
          <t>laas_net_cf</t>
        </is>
      </c>
      <c r="L111" s="4" t="inlineStr">
        <is>
          <t>laas_cum_cf</t>
        </is>
      </c>
    </row>
    <row r="112">
      <c r="A112" s="5" t="n">
        <v>0</v>
      </c>
      <c r="B112" s="9">
        <f>IF(0=0,-'Inputs_Data'!H5,0)</f>
        <v/>
      </c>
      <c r="C112" s="9">
        <f>IF(0=0,0,'Inputs_Data'!B5)</f>
        <v/>
      </c>
      <c r="D112" s="9">
        <f>IF(0=0,0,'Inputs_Data'!E5)</f>
        <v/>
      </c>
      <c r="E112" s="9">
        <f>(IF(0=0,-'Inputs_Data'!H5,0))+(IF(0=0,0,'Inputs_Data'!B5))-(IF(0=0,0,'Inputs_Data'!E5))</f>
        <v/>
      </c>
      <c r="F112" s="9">
        <f>(0)+(E112)</f>
        <v/>
      </c>
      <c r="G112" s="9">
        <f>IF(0=0,-'Inputs_Data'!H5,0)</f>
        <v/>
      </c>
      <c r="H112" s="9">
        <f>IF(AND(0&gt;=1,0&lt;='Scenarios_10'!B12),MAX(0,(MAX(0,'Scenarios_10'!D12-'Scenarios_10'!E12/'Scenarios_10'!B12))-IF(AND(0&gt;('Scenarios_10'!B12-4),0&lt;='Scenarios_10'!B12),'Scenarios_10'!F12,0)),0)</f>
        <v/>
      </c>
      <c r="I112" s="9">
        <f>IF(0=0,'Scenarios_10'!E12,0)</f>
        <v/>
      </c>
      <c r="J112" s="9">
        <f>IF(0=0,0,IF('Scenarios_10'!C12="uniform_pct",'Inputs_Data'!E5*(1-(MIN('Scenarios_10'!G12,'Assumptions'!B10))),IF('Scenarios_10'!C12="electricity_only_pct",('Inputs_Data'!C5*(1-(MIN('Scenarios_10'!G12,'Assumptions'!B10))))+'Inputs_Data'!D5,0+('Inputs_Data'!D5*(1-AVERAGE('Assumptions'!B6,'Assumptions'!B7,'Assumptions'!B8,'Assumptions'!B9))))))</f>
        <v/>
      </c>
      <c r="K112" s="9">
        <f>(IF(0=0,-'Inputs_Data'!H5,0))+(IF(AND(0&gt;=1,0&lt;='Scenarios_10'!B12),MAX(0,(MAX(0,'Scenarios_10'!D12-'Scenarios_10'!E12/'Scenarios_10'!B12))-IF(AND(0&gt;('Scenarios_10'!B12-4),0&lt;='Scenarios_10'!B12),'Scenarios_10'!F12,0)),0))+(IF(0=0,'Scenarios_10'!E12,0))-(IF(0=0,0,IF('Scenarios_10'!C12="uniform_pct",'Inputs_Data'!E5*(1-(MIN('Scenarios_10'!G12,'Assumptions'!B10))),IF('Scenarios_10'!C12="electricity_only_pct",('Inputs_Data'!C5*(1-(MIN('Scenarios_10'!G12,'Assumptions'!B10))))+'Inputs_Data'!D5,0+('Inputs_Data'!D5*(1-AVERAGE('Assumptions'!B6,'Assumptions'!B7,'Assumptions'!B8,'Assumptions'!B9)))))))</f>
        <v/>
      </c>
      <c r="L112" s="9">
        <f>(0)+(K112)</f>
        <v/>
      </c>
    </row>
    <row r="113">
      <c r="A113" s="5" t="n">
        <v>1</v>
      </c>
      <c r="B113" s="9">
        <f>IF(1=0,-'Inputs_Data'!H5,0)</f>
        <v/>
      </c>
      <c r="C113" s="9">
        <f>IF(1=0,0,'Inputs_Data'!B6)</f>
        <v/>
      </c>
      <c r="D113" s="9">
        <f>IF(1=0,0,'Inputs_Data'!E6)</f>
        <v/>
      </c>
      <c r="E113" s="9">
        <f>(IF(1=0,-'Inputs_Data'!H5,0))+(IF(1=0,0,'Inputs_Data'!B6))-(IF(1=0,0,'Inputs_Data'!E6))</f>
        <v/>
      </c>
      <c r="F113" s="9">
        <f>(F112)+(E113)</f>
        <v/>
      </c>
      <c r="G113" s="9">
        <f>IF(1=0,-'Inputs_Data'!H5,0)</f>
        <v/>
      </c>
      <c r="H113" s="9">
        <f>IF(AND(1&gt;=1,1&lt;='Scenarios_10'!B12),MAX(0,(MAX(0,'Scenarios_10'!D12-'Scenarios_10'!E12/'Scenarios_10'!B12))-IF(AND(1&gt;('Scenarios_10'!B12-4),1&lt;='Scenarios_10'!B12),'Scenarios_10'!F12,0)),0)</f>
        <v/>
      </c>
      <c r="I113" s="9">
        <f>IF(1=0,'Scenarios_10'!E12,0)</f>
        <v/>
      </c>
      <c r="J113" s="9">
        <f>IF(1=0,0,IF('Scenarios_10'!C12="uniform_pct",'Inputs_Data'!E6*(1-(MIN('Scenarios_10'!G12,'Assumptions'!B10))),IF('Scenarios_10'!C12="electricity_only_pct",('Inputs_Data'!C6*(1-(MIN('Scenarios_10'!G12,'Assumptions'!B10))))+'Inputs_Data'!D6,0+('Inputs_Data'!D6*(1-AVERAGE('Assumptions'!B6,'Assumptions'!B7,'Assumptions'!B8,'Assumptions'!B9))))))</f>
        <v/>
      </c>
      <c r="K113" s="9">
        <f>(IF(1=0,-'Inputs_Data'!H5,0))+(IF(AND(1&gt;=1,1&lt;='Scenarios_10'!B12),MAX(0,(MAX(0,'Scenarios_10'!D12-'Scenarios_10'!E12/'Scenarios_10'!B12))-IF(AND(1&gt;('Scenarios_10'!B12-4),1&lt;='Scenarios_10'!B12),'Scenarios_10'!F12,0)),0))+(IF(1=0,'Scenarios_10'!E12,0))-(IF(1=0,0,IF('Scenarios_10'!C12="uniform_pct",'Inputs_Data'!E6*(1-(MIN('Scenarios_10'!G12,'Assumptions'!B10))),IF('Scenarios_10'!C12="electricity_only_pct",('Inputs_Data'!C6*(1-(MIN('Scenarios_10'!G12,'Assumptions'!B10))))+'Inputs_Data'!D6,0+('Inputs_Data'!D6*(1-AVERAGE('Assumptions'!B6,'Assumptions'!B7,'Assumptions'!B8,'Assumptions'!B9)))))))</f>
        <v/>
      </c>
      <c r="L113" s="9">
        <f>(L112)+(K113)</f>
        <v/>
      </c>
    </row>
    <row r="114">
      <c r="A114" s="5" t="n">
        <v>2</v>
      </c>
      <c r="B114" s="9">
        <f>IF(2=0,-'Inputs_Data'!H5,0)</f>
        <v/>
      </c>
      <c r="C114" s="9">
        <f>IF(2=0,0,'Inputs_Data'!B7)</f>
        <v/>
      </c>
      <c r="D114" s="9">
        <f>IF(2=0,0,'Inputs_Data'!E7)</f>
        <v/>
      </c>
      <c r="E114" s="9">
        <f>(IF(2=0,-'Inputs_Data'!H5,0))+(IF(2=0,0,'Inputs_Data'!B7))-(IF(2=0,0,'Inputs_Data'!E7))</f>
        <v/>
      </c>
      <c r="F114" s="9">
        <f>(F113)+(E114)</f>
        <v/>
      </c>
      <c r="G114" s="9">
        <f>IF(2=0,-'Inputs_Data'!H5,0)</f>
        <v/>
      </c>
      <c r="H114" s="9">
        <f>IF(AND(2&gt;=1,2&lt;='Scenarios_10'!B12),MAX(0,(MAX(0,'Scenarios_10'!D12-'Scenarios_10'!E12/'Scenarios_10'!B12))-IF(AND(2&gt;('Scenarios_10'!B12-4),2&lt;='Scenarios_10'!B12),'Scenarios_10'!F12,0)),0)</f>
        <v/>
      </c>
      <c r="I114" s="9">
        <f>IF(2=0,'Scenarios_10'!E12,0)</f>
        <v/>
      </c>
      <c r="J114" s="9">
        <f>IF(2=0,0,IF('Scenarios_10'!C12="uniform_pct",'Inputs_Data'!E7*(1-(MIN('Scenarios_10'!G12,'Assumptions'!B10))),IF('Scenarios_10'!C12="electricity_only_pct",('Inputs_Data'!C7*(1-(MIN('Scenarios_10'!G12,'Assumptions'!B10))))+'Inputs_Data'!D7,0+('Inputs_Data'!D7*(1-AVERAGE('Assumptions'!B6,'Assumptions'!B7,'Assumptions'!B8,'Assumptions'!B9))))))</f>
        <v/>
      </c>
      <c r="K114" s="9">
        <f>(IF(2=0,-'Inputs_Data'!H5,0))+(IF(AND(2&gt;=1,2&lt;='Scenarios_10'!B12),MAX(0,(MAX(0,'Scenarios_10'!D12-'Scenarios_10'!E12/'Scenarios_10'!B12))-IF(AND(2&gt;('Scenarios_10'!B12-4),2&lt;='Scenarios_10'!B12),'Scenarios_10'!F12,0)),0))+(IF(2=0,'Scenarios_10'!E12,0))-(IF(2=0,0,IF('Scenarios_10'!C12="uniform_pct",'Inputs_Data'!E7*(1-(MIN('Scenarios_10'!G12,'Assumptions'!B10))),IF('Scenarios_10'!C12="electricity_only_pct",('Inputs_Data'!C7*(1-(MIN('Scenarios_10'!G12,'Assumptions'!B10))))+'Inputs_Data'!D7,0+('Inputs_Data'!D7*(1-AVERAGE('Assumptions'!B6,'Assumptions'!B7,'Assumptions'!B8,'Assumptions'!B9)))))))</f>
        <v/>
      </c>
      <c r="L114" s="9">
        <f>(L113)+(K114)</f>
        <v/>
      </c>
    </row>
    <row r="115">
      <c r="A115" s="5" t="n">
        <v>3</v>
      </c>
      <c r="B115" s="9">
        <f>IF(3=0,-'Inputs_Data'!H5,0)</f>
        <v/>
      </c>
      <c r="C115" s="9">
        <f>IF(3=0,0,'Inputs_Data'!B8)</f>
        <v/>
      </c>
      <c r="D115" s="9">
        <f>IF(3=0,0,'Inputs_Data'!E8)</f>
        <v/>
      </c>
      <c r="E115" s="9">
        <f>(IF(3=0,-'Inputs_Data'!H5,0))+(IF(3=0,0,'Inputs_Data'!B8))-(IF(3=0,0,'Inputs_Data'!E8))</f>
        <v/>
      </c>
      <c r="F115" s="9">
        <f>(F114)+(E115)</f>
        <v/>
      </c>
      <c r="G115" s="9">
        <f>IF(3=0,-'Inputs_Data'!H5,0)</f>
        <v/>
      </c>
      <c r="H115" s="9">
        <f>IF(AND(3&gt;=1,3&lt;='Scenarios_10'!B12),MAX(0,(MAX(0,'Scenarios_10'!D12-'Scenarios_10'!E12/'Scenarios_10'!B12))-IF(AND(3&gt;('Scenarios_10'!B12-4),3&lt;='Scenarios_10'!B12),'Scenarios_10'!F12,0)),0)</f>
        <v/>
      </c>
      <c r="I115" s="9">
        <f>IF(3=0,'Scenarios_10'!E12,0)</f>
        <v/>
      </c>
      <c r="J115" s="9">
        <f>IF(3=0,0,IF('Scenarios_10'!C12="uniform_pct",'Inputs_Data'!E8*(1-(MIN('Scenarios_10'!G12,'Assumptions'!B10))),IF('Scenarios_10'!C12="electricity_only_pct",('Inputs_Data'!C8*(1-(MIN('Scenarios_10'!G12,'Assumptions'!B10))))+'Inputs_Data'!D8,0+('Inputs_Data'!D8*(1-AVERAGE('Assumptions'!B6,'Assumptions'!B7,'Assumptions'!B8,'Assumptions'!B9))))))</f>
        <v/>
      </c>
      <c r="K115" s="9">
        <f>(IF(3=0,-'Inputs_Data'!H5,0))+(IF(AND(3&gt;=1,3&lt;='Scenarios_10'!B12),MAX(0,(MAX(0,'Scenarios_10'!D12-'Scenarios_10'!E12/'Scenarios_10'!B12))-IF(AND(3&gt;('Scenarios_10'!B12-4),3&lt;='Scenarios_10'!B12),'Scenarios_10'!F12,0)),0))+(IF(3=0,'Scenarios_10'!E12,0))-(IF(3=0,0,IF('Scenarios_10'!C12="uniform_pct",'Inputs_Data'!E8*(1-(MIN('Scenarios_10'!G12,'Assumptions'!B10))),IF('Scenarios_10'!C12="electricity_only_pct",('Inputs_Data'!C8*(1-(MIN('Scenarios_10'!G12,'Assumptions'!B10))))+'Inputs_Data'!D8,0+('Inputs_Data'!D8*(1-AVERAGE('Assumptions'!B6,'Assumptions'!B7,'Assumptions'!B8,'Assumptions'!B9)))))))</f>
        <v/>
      </c>
      <c r="L115" s="9">
        <f>(L114)+(K115)</f>
        <v/>
      </c>
    </row>
    <row r="116">
      <c r="A116" s="5" t="n">
        <v>4</v>
      </c>
      <c r="B116" s="9">
        <f>IF(4=0,-'Inputs_Data'!H5,0)</f>
        <v/>
      </c>
      <c r="C116" s="9">
        <f>IF(4=0,0,'Inputs_Data'!B9)</f>
        <v/>
      </c>
      <c r="D116" s="9">
        <f>IF(4=0,0,'Inputs_Data'!E9)</f>
        <v/>
      </c>
      <c r="E116" s="9">
        <f>(IF(4=0,-'Inputs_Data'!H5,0))+(IF(4=0,0,'Inputs_Data'!B9))-(IF(4=0,0,'Inputs_Data'!E9))</f>
        <v/>
      </c>
      <c r="F116" s="9">
        <f>(F115)+(E116)</f>
        <v/>
      </c>
      <c r="G116" s="9">
        <f>IF(4=0,-'Inputs_Data'!H5,0)</f>
        <v/>
      </c>
      <c r="H116" s="9">
        <f>IF(AND(4&gt;=1,4&lt;='Scenarios_10'!B12),MAX(0,(MAX(0,'Scenarios_10'!D12-'Scenarios_10'!E12/'Scenarios_10'!B12))-IF(AND(4&gt;('Scenarios_10'!B12-4),4&lt;='Scenarios_10'!B12),'Scenarios_10'!F12,0)),0)</f>
        <v/>
      </c>
      <c r="I116" s="9">
        <f>IF(4=0,'Scenarios_10'!E12,0)</f>
        <v/>
      </c>
      <c r="J116" s="9">
        <f>IF(4=0,0,IF('Scenarios_10'!C12="uniform_pct",'Inputs_Data'!E9*(1-(MIN('Scenarios_10'!G12,'Assumptions'!B10))),IF('Scenarios_10'!C12="electricity_only_pct",('Inputs_Data'!C9*(1-(MIN('Scenarios_10'!G12,'Assumptions'!B10))))+'Inputs_Data'!D9,0+('Inputs_Data'!D9*(1-AVERAGE('Assumptions'!B6,'Assumptions'!B7,'Assumptions'!B8,'Assumptions'!B9))))))</f>
        <v/>
      </c>
      <c r="K116" s="9">
        <f>(IF(4=0,-'Inputs_Data'!H5,0))+(IF(AND(4&gt;=1,4&lt;='Scenarios_10'!B12),MAX(0,(MAX(0,'Scenarios_10'!D12-'Scenarios_10'!E12/'Scenarios_10'!B12))-IF(AND(4&gt;('Scenarios_10'!B12-4),4&lt;='Scenarios_10'!B12),'Scenarios_10'!F12,0)),0))+(IF(4=0,'Scenarios_10'!E12,0))-(IF(4=0,0,IF('Scenarios_10'!C12="uniform_pct",'Inputs_Data'!E9*(1-(MIN('Scenarios_10'!G12,'Assumptions'!B10))),IF('Scenarios_10'!C12="electricity_only_pct",('Inputs_Data'!C9*(1-(MIN('Scenarios_10'!G12,'Assumptions'!B10))))+'Inputs_Data'!D9,0+('Inputs_Data'!D9*(1-AVERAGE('Assumptions'!B6,'Assumptions'!B7,'Assumptions'!B8,'Assumptions'!B9)))))))</f>
        <v/>
      </c>
      <c r="L116" s="9">
        <f>(L115)+(K116)</f>
        <v/>
      </c>
    </row>
    <row r="117">
      <c r="A117" s="5" t="n">
        <v>5</v>
      </c>
      <c r="B117" s="9">
        <f>IF(5=0,-'Inputs_Data'!H5,0)</f>
        <v/>
      </c>
      <c r="C117" s="9">
        <f>IF(5=0,0,'Inputs_Data'!B10)</f>
        <v/>
      </c>
      <c r="D117" s="9">
        <f>IF(5=0,0,'Inputs_Data'!E10)</f>
        <v/>
      </c>
      <c r="E117" s="9">
        <f>(IF(5=0,-'Inputs_Data'!H5,0))+(IF(5=0,0,'Inputs_Data'!B10))-(IF(5=0,0,'Inputs_Data'!E10))</f>
        <v/>
      </c>
      <c r="F117" s="9">
        <f>(F116)+(E117)</f>
        <v/>
      </c>
      <c r="G117" s="9">
        <f>IF(5=0,-'Inputs_Data'!H5,0)</f>
        <v/>
      </c>
      <c r="H117" s="9">
        <f>IF(AND(5&gt;=1,5&lt;='Scenarios_10'!B12),MAX(0,(MAX(0,'Scenarios_10'!D12-'Scenarios_10'!E12/'Scenarios_10'!B12))-IF(AND(5&gt;('Scenarios_10'!B12-4),5&lt;='Scenarios_10'!B12),'Scenarios_10'!F12,0)),0)</f>
        <v/>
      </c>
      <c r="I117" s="9">
        <f>IF(5=0,'Scenarios_10'!E12,0)</f>
        <v/>
      </c>
      <c r="J117" s="9">
        <f>IF(5=0,0,IF('Scenarios_10'!C12="uniform_pct",'Inputs_Data'!E10*(1-(MIN('Scenarios_10'!G12,'Assumptions'!B10))),IF('Scenarios_10'!C12="electricity_only_pct",('Inputs_Data'!C10*(1-(MIN('Scenarios_10'!G12,'Assumptions'!B10))))+'Inputs_Data'!D10,0+('Inputs_Data'!D10*(1-AVERAGE('Assumptions'!B6,'Assumptions'!B7,'Assumptions'!B8,'Assumptions'!B9))))))</f>
        <v/>
      </c>
      <c r="K117" s="9">
        <f>(IF(5=0,-'Inputs_Data'!H5,0))+(IF(AND(5&gt;=1,5&lt;='Scenarios_10'!B12),MAX(0,(MAX(0,'Scenarios_10'!D12-'Scenarios_10'!E12/'Scenarios_10'!B12))-IF(AND(5&gt;('Scenarios_10'!B12-4),5&lt;='Scenarios_10'!B12),'Scenarios_10'!F12,0)),0))+(IF(5=0,'Scenarios_10'!E12,0))-(IF(5=0,0,IF('Scenarios_10'!C12="uniform_pct",'Inputs_Data'!E10*(1-(MIN('Scenarios_10'!G12,'Assumptions'!B10))),IF('Scenarios_10'!C12="electricity_only_pct",('Inputs_Data'!C10*(1-(MIN('Scenarios_10'!G12,'Assumptions'!B10))))+'Inputs_Data'!D10,0+('Inputs_Data'!D10*(1-AVERAGE('Assumptions'!B6,'Assumptions'!B7,'Assumptions'!B8,'Assumptions'!B9)))))))</f>
        <v/>
      </c>
      <c r="L117" s="9">
        <f>(L116)+(K117)</f>
        <v/>
      </c>
    </row>
    <row r="118">
      <c r="A118" s="5" t="n">
        <v>6</v>
      </c>
      <c r="B118" s="9">
        <f>IF(6=0,-'Inputs_Data'!H5,0)</f>
        <v/>
      </c>
      <c r="C118" s="9">
        <f>IF(6=0,0,'Inputs_Data'!B11)</f>
        <v/>
      </c>
      <c r="D118" s="9">
        <f>IF(6=0,0,'Inputs_Data'!E11)</f>
        <v/>
      </c>
      <c r="E118" s="9">
        <f>(IF(6=0,-'Inputs_Data'!H5,0))+(IF(6=0,0,'Inputs_Data'!B11))-(IF(6=0,0,'Inputs_Data'!E11))</f>
        <v/>
      </c>
      <c r="F118" s="9">
        <f>(F117)+(E118)</f>
        <v/>
      </c>
      <c r="G118" s="9">
        <f>IF(6=0,-'Inputs_Data'!H5,0)</f>
        <v/>
      </c>
      <c r="H118" s="9">
        <f>IF(AND(6&gt;=1,6&lt;='Scenarios_10'!B12),MAX(0,(MAX(0,'Scenarios_10'!D12-'Scenarios_10'!E12/'Scenarios_10'!B12))-IF(AND(6&gt;('Scenarios_10'!B12-4),6&lt;='Scenarios_10'!B12),'Scenarios_10'!F12,0)),0)</f>
        <v/>
      </c>
      <c r="I118" s="9">
        <f>IF(6=0,'Scenarios_10'!E12,0)</f>
        <v/>
      </c>
      <c r="J118" s="9">
        <f>IF(6=0,0,IF('Scenarios_10'!C12="uniform_pct",'Inputs_Data'!E11*(1-(MIN('Scenarios_10'!G12,'Assumptions'!B10))),IF('Scenarios_10'!C12="electricity_only_pct",('Inputs_Data'!C11*(1-(MIN('Scenarios_10'!G12,'Assumptions'!B10))))+'Inputs_Data'!D11,0+('Inputs_Data'!D11*(1-AVERAGE('Assumptions'!B6,'Assumptions'!B7,'Assumptions'!B8,'Assumptions'!B9))))))</f>
        <v/>
      </c>
      <c r="K118" s="9">
        <f>(IF(6=0,-'Inputs_Data'!H5,0))+(IF(AND(6&gt;=1,6&lt;='Scenarios_10'!B12),MAX(0,(MAX(0,'Scenarios_10'!D12-'Scenarios_10'!E12/'Scenarios_10'!B12))-IF(AND(6&gt;('Scenarios_10'!B12-4),6&lt;='Scenarios_10'!B12),'Scenarios_10'!F12,0)),0))+(IF(6=0,'Scenarios_10'!E12,0))-(IF(6=0,0,IF('Scenarios_10'!C12="uniform_pct",'Inputs_Data'!E11*(1-(MIN('Scenarios_10'!G12,'Assumptions'!B10))),IF('Scenarios_10'!C12="electricity_only_pct",('Inputs_Data'!C11*(1-(MIN('Scenarios_10'!G12,'Assumptions'!B10))))+'Inputs_Data'!D11,0+('Inputs_Data'!D11*(1-AVERAGE('Assumptions'!B6,'Assumptions'!B7,'Assumptions'!B8,'Assumptions'!B9)))))))</f>
        <v/>
      </c>
      <c r="L118" s="9">
        <f>(L117)+(K118)</f>
        <v/>
      </c>
    </row>
    <row r="119">
      <c r="A119" s="5" t="n">
        <v>7</v>
      </c>
      <c r="B119" s="9">
        <f>IF(7=0,-'Inputs_Data'!H5,0)</f>
        <v/>
      </c>
      <c r="C119" s="9">
        <f>IF(7=0,0,'Inputs_Data'!B12)</f>
        <v/>
      </c>
      <c r="D119" s="9">
        <f>IF(7=0,0,'Inputs_Data'!E12)</f>
        <v/>
      </c>
      <c r="E119" s="9">
        <f>(IF(7=0,-'Inputs_Data'!H5,0))+(IF(7=0,0,'Inputs_Data'!B12))-(IF(7=0,0,'Inputs_Data'!E12))</f>
        <v/>
      </c>
      <c r="F119" s="9">
        <f>(F118)+(E119)</f>
        <v/>
      </c>
      <c r="G119" s="9">
        <f>IF(7=0,-'Inputs_Data'!H5,0)</f>
        <v/>
      </c>
      <c r="H119" s="9">
        <f>IF(AND(7&gt;=1,7&lt;='Scenarios_10'!B12),MAX(0,(MAX(0,'Scenarios_10'!D12-'Scenarios_10'!E12/'Scenarios_10'!B12))-IF(AND(7&gt;('Scenarios_10'!B12-4),7&lt;='Scenarios_10'!B12),'Scenarios_10'!F12,0)),0)</f>
        <v/>
      </c>
      <c r="I119" s="9">
        <f>IF(7=0,'Scenarios_10'!E12,0)</f>
        <v/>
      </c>
      <c r="J119" s="9">
        <f>IF(7=0,0,IF('Scenarios_10'!C12="uniform_pct",'Inputs_Data'!E12*(1-(MIN('Scenarios_10'!G12,'Assumptions'!B10))),IF('Scenarios_10'!C12="electricity_only_pct",('Inputs_Data'!C12*(1-(MIN('Scenarios_10'!G12,'Assumptions'!B10))))+'Inputs_Data'!D12,0+('Inputs_Data'!D12*(1-AVERAGE('Assumptions'!B6,'Assumptions'!B7,'Assumptions'!B8,'Assumptions'!B9))))))</f>
        <v/>
      </c>
      <c r="K119" s="9">
        <f>(IF(7=0,-'Inputs_Data'!H5,0))+(IF(AND(7&gt;=1,7&lt;='Scenarios_10'!B12),MAX(0,(MAX(0,'Scenarios_10'!D12-'Scenarios_10'!E12/'Scenarios_10'!B12))-IF(AND(7&gt;('Scenarios_10'!B12-4),7&lt;='Scenarios_10'!B12),'Scenarios_10'!F12,0)),0))+(IF(7=0,'Scenarios_10'!E12,0))-(IF(7=0,0,IF('Scenarios_10'!C12="uniform_pct",'Inputs_Data'!E12*(1-(MIN('Scenarios_10'!G12,'Assumptions'!B10))),IF('Scenarios_10'!C12="electricity_only_pct",('Inputs_Data'!C12*(1-(MIN('Scenarios_10'!G12,'Assumptions'!B10))))+'Inputs_Data'!D12,0+('Inputs_Data'!D12*(1-AVERAGE('Assumptions'!B6,'Assumptions'!B7,'Assumptions'!B8,'Assumptions'!B9)))))))</f>
        <v/>
      </c>
      <c r="L119" s="9">
        <f>(L118)+(K119)</f>
        <v/>
      </c>
    </row>
    <row r="120">
      <c r="A120" s="5" t="n">
        <v>8</v>
      </c>
      <c r="B120" s="9">
        <f>IF(8=0,-'Inputs_Data'!H5,0)</f>
        <v/>
      </c>
      <c r="C120" s="9">
        <f>IF(8=0,0,'Inputs_Data'!B13)</f>
        <v/>
      </c>
      <c r="D120" s="9">
        <f>IF(8=0,0,'Inputs_Data'!E13)</f>
        <v/>
      </c>
      <c r="E120" s="9">
        <f>(IF(8=0,-'Inputs_Data'!H5,0))+(IF(8=0,0,'Inputs_Data'!B13))-(IF(8=0,0,'Inputs_Data'!E13))</f>
        <v/>
      </c>
      <c r="F120" s="9">
        <f>(F119)+(E120)</f>
        <v/>
      </c>
      <c r="G120" s="9">
        <f>IF(8=0,-'Inputs_Data'!H5,0)</f>
        <v/>
      </c>
      <c r="H120" s="9">
        <f>IF(AND(8&gt;=1,8&lt;='Scenarios_10'!B12),MAX(0,(MAX(0,'Scenarios_10'!D12-'Scenarios_10'!E12/'Scenarios_10'!B12))-IF(AND(8&gt;('Scenarios_10'!B12-4),8&lt;='Scenarios_10'!B12),'Scenarios_10'!F12,0)),0)</f>
        <v/>
      </c>
      <c r="I120" s="9">
        <f>IF(8=0,'Scenarios_10'!E12,0)</f>
        <v/>
      </c>
      <c r="J120" s="9">
        <f>IF(8=0,0,IF('Scenarios_10'!C12="uniform_pct",'Inputs_Data'!E13*(1-(MIN('Scenarios_10'!G12,'Assumptions'!B10))),IF('Scenarios_10'!C12="electricity_only_pct",('Inputs_Data'!C13*(1-(MIN('Scenarios_10'!G12,'Assumptions'!B10))))+'Inputs_Data'!D13,0+('Inputs_Data'!D13*(1-AVERAGE('Assumptions'!B6,'Assumptions'!B7,'Assumptions'!B8,'Assumptions'!B9))))))</f>
        <v/>
      </c>
      <c r="K120" s="9">
        <f>(IF(8=0,-'Inputs_Data'!H5,0))+(IF(AND(8&gt;=1,8&lt;='Scenarios_10'!B12),MAX(0,(MAX(0,'Scenarios_10'!D12-'Scenarios_10'!E12/'Scenarios_10'!B12))-IF(AND(8&gt;('Scenarios_10'!B12-4),8&lt;='Scenarios_10'!B12),'Scenarios_10'!F12,0)),0))+(IF(8=0,'Scenarios_10'!E12,0))-(IF(8=0,0,IF('Scenarios_10'!C12="uniform_pct",'Inputs_Data'!E13*(1-(MIN('Scenarios_10'!G12,'Assumptions'!B10))),IF('Scenarios_10'!C12="electricity_only_pct",('Inputs_Data'!C13*(1-(MIN('Scenarios_10'!G12,'Assumptions'!B10))))+'Inputs_Data'!D13,0+('Inputs_Data'!D13*(1-AVERAGE('Assumptions'!B6,'Assumptions'!B7,'Assumptions'!B8,'Assumptions'!B9)))))))</f>
        <v/>
      </c>
      <c r="L120" s="9">
        <f>(L119)+(K120)</f>
        <v/>
      </c>
    </row>
    <row r="121">
      <c r="A121" s="5" t="n">
        <v>9</v>
      </c>
      <c r="B121" s="9">
        <f>IF(9=0,-'Inputs_Data'!H5,0)</f>
        <v/>
      </c>
      <c r="C121" s="9">
        <f>IF(9=0,0,'Inputs_Data'!B14)</f>
        <v/>
      </c>
      <c r="D121" s="9">
        <f>IF(9=0,0,'Inputs_Data'!E14)</f>
        <v/>
      </c>
      <c r="E121" s="9">
        <f>(IF(9=0,-'Inputs_Data'!H5,0))+(IF(9=0,0,'Inputs_Data'!B14))-(IF(9=0,0,'Inputs_Data'!E14))</f>
        <v/>
      </c>
      <c r="F121" s="9">
        <f>(F120)+(E121)</f>
        <v/>
      </c>
      <c r="G121" s="9">
        <f>IF(9=0,-'Inputs_Data'!H5,0)</f>
        <v/>
      </c>
      <c r="H121" s="9">
        <f>IF(AND(9&gt;=1,9&lt;='Scenarios_10'!B12),MAX(0,(MAX(0,'Scenarios_10'!D12-'Scenarios_10'!E12/'Scenarios_10'!B12))-IF(AND(9&gt;('Scenarios_10'!B12-4),9&lt;='Scenarios_10'!B12),'Scenarios_10'!F12,0)),0)</f>
        <v/>
      </c>
      <c r="I121" s="9">
        <f>IF(9=0,'Scenarios_10'!E12,0)</f>
        <v/>
      </c>
      <c r="J121" s="9">
        <f>IF(9=0,0,IF('Scenarios_10'!C12="uniform_pct",'Inputs_Data'!E14*(1-(MIN('Scenarios_10'!G12,'Assumptions'!B10))),IF('Scenarios_10'!C12="electricity_only_pct",('Inputs_Data'!C14*(1-(MIN('Scenarios_10'!G12,'Assumptions'!B10))))+'Inputs_Data'!D14,0+('Inputs_Data'!D14*(1-AVERAGE('Assumptions'!B6,'Assumptions'!B7,'Assumptions'!B8,'Assumptions'!B9))))))</f>
        <v/>
      </c>
      <c r="K121" s="9">
        <f>(IF(9=0,-'Inputs_Data'!H5,0))+(IF(AND(9&gt;=1,9&lt;='Scenarios_10'!B12),MAX(0,(MAX(0,'Scenarios_10'!D12-'Scenarios_10'!E12/'Scenarios_10'!B12))-IF(AND(9&gt;('Scenarios_10'!B12-4),9&lt;='Scenarios_10'!B12),'Scenarios_10'!F12,0)),0))+(IF(9=0,'Scenarios_10'!E12,0))-(IF(9=0,0,IF('Scenarios_10'!C12="uniform_pct",'Inputs_Data'!E14*(1-(MIN('Scenarios_10'!G12,'Assumptions'!B10))),IF('Scenarios_10'!C12="electricity_only_pct",('Inputs_Data'!C14*(1-(MIN('Scenarios_10'!G12,'Assumptions'!B10))))+'Inputs_Data'!D14,0+('Inputs_Data'!D14*(1-AVERAGE('Assumptions'!B6,'Assumptions'!B7,'Assumptions'!B8,'Assumptions'!B9)))))))</f>
        <v/>
      </c>
      <c r="L121" s="9">
        <f>(L120)+(K121)</f>
        <v/>
      </c>
    </row>
    <row r="122">
      <c r="A122" s="5" t="n">
        <v>10</v>
      </c>
      <c r="B122" s="9">
        <f>IF(10=0,-'Inputs_Data'!H5,0)</f>
        <v/>
      </c>
      <c r="C122" s="9">
        <f>IF(10=0,0,'Inputs_Data'!B15)</f>
        <v/>
      </c>
      <c r="D122" s="9">
        <f>IF(10=0,0,'Inputs_Data'!E15)</f>
        <v/>
      </c>
      <c r="E122" s="9">
        <f>(IF(10=0,-'Inputs_Data'!H5,0))+(IF(10=0,0,'Inputs_Data'!B15))-(IF(10=0,0,'Inputs_Data'!E15))</f>
        <v/>
      </c>
      <c r="F122" s="9">
        <f>(F121)+(E122)</f>
        <v/>
      </c>
      <c r="G122" s="9">
        <f>IF(10=0,-'Inputs_Data'!H5,0)</f>
        <v/>
      </c>
      <c r="H122" s="9">
        <f>IF(AND(10&gt;=1,10&lt;='Scenarios_10'!B12),MAX(0,(MAX(0,'Scenarios_10'!D12-'Scenarios_10'!E12/'Scenarios_10'!B12))-IF(AND(10&gt;('Scenarios_10'!B12-4),10&lt;='Scenarios_10'!B12),'Scenarios_10'!F12,0)),0)</f>
        <v/>
      </c>
      <c r="I122" s="9">
        <f>IF(10=0,'Scenarios_10'!E12,0)</f>
        <v/>
      </c>
      <c r="J122" s="9">
        <f>IF(10=0,0,IF('Scenarios_10'!C12="uniform_pct",'Inputs_Data'!E15*(1-(MIN('Scenarios_10'!G12,'Assumptions'!B10))),IF('Scenarios_10'!C12="electricity_only_pct",('Inputs_Data'!C15*(1-(MIN('Scenarios_10'!G12,'Assumptions'!B10))))+'Inputs_Data'!D15,0+('Inputs_Data'!D15*(1-AVERAGE('Assumptions'!B6,'Assumptions'!B7,'Assumptions'!B8,'Assumptions'!B9))))))</f>
        <v/>
      </c>
      <c r="K122" s="9">
        <f>(IF(10=0,-'Inputs_Data'!H5,0))+(IF(AND(10&gt;=1,10&lt;='Scenarios_10'!B12),MAX(0,(MAX(0,'Scenarios_10'!D12-'Scenarios_10'!E12/'Scenarios_10'!B12))-IF(AND(10&gt;('Scenarios_10'!B12-4),10&lt;='Scenarios_10'!B12),'Scenarios_10'!F12,0)),0))+(IF(10=0,'Scenarios_10'!E12,0))-(IF(10=0,0,IF('Scenarios_10'!C12="uniform_pct",'Inputs_Data'!E15*(1-(MIN('Scenarios_10'!G12,'Assumptions'!B10))),IF('Scenarios_10'!C12="electricity_only_pct",('Inputs_Data'!C15*(1-(MIN('Scenarios_10'!G12,'Assumptions'!B10))))+'Inputs_Data'!D15,0+('Inputs_Data'!D15*(1-AVERAGE('Assumptions'!B6,'Assumptions'!B7,'Assumptions'!B8,'Assumptions'!B9)))))))</f>
        <v/>
      </c>
      <c r="L122" s="9">
        <f>(L121)+(K122)</f>
        <v/>
      </c>
    </row>
    <row r="125">
      <c r="A125" s="6" t="inlineStr">
        <is>
          <t>Tier: ='Scenarios_10'!A13</t>
        </is>
      </c>
    </row>
    <row r="126">
      <c r="A126" s="4" t="inlineStr">
        <is>
          <t>year</t>
        </is>
      </c>
      <c r="B126" s="4" t="inlineStr">
        <is>
          <t>trust_capex</t>
        </is>
      </c>
      <c r="C126" s="4" t="inlineStr">
        <is>
          <t>trust_fee</t>
        </is>
      </c>
      <c r="D126" s="4" t="inlineStr">
        <is>
          <t>trust_cash_opex</t>
        </is>
      </c>
      <c r="E126" s="4" t="inlineStr">
        <is>
          <t>trust_net_cf</t>
        </is>
      </c>
      <c r="F126" s="4" t="inlineStr">
        <is>
          <t>trust_cum_cf</t>
        </is>
      </c>
      <c r="G126" s="4" t="inlineStr">
        <is>
          <t>laas_capex</t>
        </is>
      </c>
      <c r="H126" s="4" t="inlineStr">
        <is>
          <t>laas_fee</t>
        </is>
      </c>
      <c r="I126" s="4" t="inlineStr">
        <is>
          <t>laas_upfront</t>
        </is>
      </c>
      <c r="J126" s="4" t="inlineStr">
        <is>
          <t>laas_cash_opex</t>
        </is>
      </c>
      <c r="K126" s="4" t="inlineStr">
        <is>
          <t>laas_net_cf</t>
        </is>
      </c>
      <c r="L126" s="4" t="inlineStr">
        <is>
          <t>laas_cum_cf</t>
        </is>
      </c>
    </row>
    <row r="127">
      <c r="A127" s="5" t="n">
        <v>0</v>
      </c>
      <c r="B127" s="9">
        <f>IF(0=0,-'Inputs_Data'!H5,0)</f>
        <v/>
      </c>
      <c r="C127" s="9">
        <f>IF(0=0,0,'Inputs_Data'!B5)</f>
        <v/>
      </c>
      <c r="D127" s="9">
        <f>IF(0=0,0,'Inputs_Data'!E5)</f>
        <v/>
      </c>
      <c r="E127" s="9">
        <f>(IF(0=0,-'Inputs_Data'!H5,0))+(IF(0=0,0,'Inputs_Data'!B5))-(IF(0=0,0,'Inputs_Data'!E5))</f>
        <v/>
      </c>
      <c r="F127" s="9">
        <f>(0)+(E127)</f>
        <v/>
      </c>
      <c r="G127" s="9">
        <f>IF(0=0,-'Inputs_Data'!H5,0)</f>
        <v/>
      </c>
      <c r="H127" s="9">
        <f>IF(AND(0&gt;=1,0&lt;='Scenarios_10'!B13),MAX(0,(MAX(0,'Scenarios_10'!D13-'Scenarios_10'!E13/'Scenarios_10'!B13))-IF(AND(0&gt;('Scenarios_10'!B13-4),0&lt;='Scenarios_10'!B13),'Scenarios_10'!F13,0)),0)</f>
        <v/>
      </c>
      <c r="I127" s="9">
        <f>IF(0=0,'Scenarios_10'!E13,0)</f>
        <v/>
      </c>
      <c r="J127" s="9">
        <f>IF(0=0,0,IF('Scenarios_10'!C13="uniform_pct",'Inputs_Data'!E5*(1-(MIN('Scenarios_10'!G13,'Assumptions'!B10))),IF('Scenarios_10'!C13="electricity_only_pct",('Inputs_Data'!C5*(1-(MIN('Scenarios_10'!G13,'Assumptions'!B10))))+'Inputs_Data'!D5,0+('Inputs_Data'!D5*(1-AVERAGE('Assumptions'!B6,'Assumptions'!B7,'Assumptions'!B8,'Assumptions'!B9))))))</f>
        <v/>
      </c>
      <c r="K127" s="9">
        <f>(IF(0=0,-'Inputs_Data'!H5,0))+(IF(AND(0&gt;=1,0&lt;='Scenarios_10'!B13),MAX(0,(MAX(0,'Scenarios_10'!D13-'Scenarios_10'!E13/'Scenarios_10'!B13))-IF(AND(0&gt;('Scenarios_10'!B13-4),0&lt;='Scenarios_10'!B13),'Scenarios_10'!F13,0)),0))+(IF(0=0,'Scenarios_10'!E13,0))-(IF(0=0,0,IF('Scenarios_10'!C13="uniform_pct",'Inputs_Data'!E5*(1-(MIN('Scenarios_10'!G13,'Assumptions'!B10))),IF('Scenarios_10'!C13="electricity_only_pct",('Inputs_Data'!C5*(1-(MIN('Scenarios_10'!G13,'Assumptions'!B10))))+'Inputs_Data'!D5,0+('Inputs_Data'!D5*(1-AVERAGE('Assumptions'!B6,'Assumptions'!B7,'Assumptions'!B8,'Assumptions'!B9)))))))</f>
        <v/>
      </c>
      <c r="L127" s="9">
        <f>(0)+(K127)</f>
        <v/>
      </c>
    </row>
    <row r="128">
      <c r="A128" s="5" t="n">
        <v>1</v>
      </c>
      <c r="B128" s="9">
        <f>IF(1=0,-'Inputs_Data'!H5,0)</f>
        <v/>
      </c>
      <c r="C128" s="9">
        <f>IF(1=0,0,'Inputs_Data'!B6)</f>
        <v/>
      </c>
      <c r="D128" s="9">
        <f>IF(1=0,0,'Inputs_Data'!E6)</f>
        <v/>
      </c>
      <c r="E128" s="9">
        <f>(IF(1=0,-'Inputs_Data'!H5,0))+(IF(1=0,0,'Inputs_Data'!B6))-(IF(1=0,0,'Inputs_Data'!E6))</f>
        <v/>
      </c>
      <c r="F128" s="9">
        <f>(F127)+(E128)</f>
        <v/>
      </c>
      <c r="G128" s="9">
        <f>IF(1=0,-'Inputs_Data'!H5,0)</f>
        <v/>
      </c>
      <c r="H128" s="9">
        <f>IF(AND(1&gt;=1,1&lt;='Scenarios_10'!B13),MAX(0,(MAX(0,'Scenarios_10'!D13-'Scenarios_10'!E13/'Scenarios_10'!B13))-IF(AND(1&gt;('Scenarios_10'!B13-4),1&lt;='Scenarios_10'!B13),'Scenarios_10'!F13,0)),0)</f>
        <v/>
      </c>
      <c r="I128" s="9">
        <f>IF(1=0,'Scenarios_10'!E13,0)</f>
        <v/>
      </c>
      <c r="J128" s="9">
        <f>IF(1=0,0,IF('Scenarios_10'!C13="uniform_pct",'Inputs_Data'!E6*(1-(MIN('Scenarios_10'!G13,'Assumptions'!B10))),IF('Scenarios_10'!C13="electricity_only_pct",('Inputs_Data'!C6*(1-(MIN('Scenarios_10'!G13,'Assumptions'!B10))))+'Inputs_Data'!D6,0+('Inputs_Data'!D6*(1-AVERAGE('Assumptions'!B6,'Assumptions'!B7,'Assumptions'!B8,'Assumptions'!B9))))))</f>
        <v/>
      </c>
      <c r="K128" s="9">
        <f>(IF(1=0,-'Inputs_Data'!H5,0))+(IF(AND(1&gt;=1,1&lt;='Scenarios_10'!B13),MAX(0,(MAX(0,'Scenarios_10'!D13-'Scenarios_10'!E13/'Scenarios_10'!B13))-IF(AND(1&gt;('Scenarios_10'!B13-4),1&lt;='Scenarios_10'!B13),'Scenarios_10'!F13,0)),0))+(IF(1=0,'Scenarios_10'!E13,0))-(IF(1=0,0,IF('Scenarios_10'!C13="uniform_pct",'Inputs_Data'!E6*(1-(MIN('Scenarios_10'!G13,'Assumptions'!B10))),IF('Scenarios_10'!C13="electricity_only_pct",('Inputs_Data'!C6*(1-(MIN('Scenarios_10'!G13,'Assumptions'!B10))))+'Inputs_Data'!D6,0+('Inputs_Data'!D6*(1-AVERAGE('Assumptions'!B6,'Assumptions'!B7,'Assumptions'!B8,'Assumptions'!B9)))))))</f>
        <v/>
      </c>
      <c r="L128" s="9">
        <f>(L127)+(K128)</f>
        <v/>
      </c>
    </row>
    <row r="129">
      <c r="A129" s="5" t="n">
        <v>2</v>
      </c>
      <c r="B129" s="9">
        <f>IF(2=0,-'Inputs_Data'!H5,0)</f>
        <v/>
      </c>
      <c r="C129" s="9">
        <f>IF(2=0,0,'Inputs_Data'!B7)</f>
        <v/>
      </c>
      <c r="D129" s="9">
        <f>IF(2=0,0,'Inputs_Data'!E7)</f>
        <v/>
      </c>
      <c r="E129" s="9">
        <f>(IF(2=0,-'Inputs_Data'!H5,0))+(IF(2=0,0,'Inputs_Data'!B7))-(IF(2=0,0,'Inputs_Data'!E7))</f>
        <v/>
      </c>
      <c r="F129" s="9">
        <f>(F128)+(E129)</f>
        <v/>
      </c>
      <c r="G129" s="9">
        <f>IF(2=0,-'Inputs_Data'!H5,0)</f>
        <v/>
      </c>
      <c r="H129" s="9">
        <f>IF(AND(2&gt;=1,2&lt;='Scenarios_10'!B13),MAX(0,(MAX(0,'Scenarios_10'!D13-'Scenarios_10'!E13/'Scenarios_10'!B13))-IF(AND(2&gt;('Scenarios_10'!B13-4),2&lt;='Scenarios_10'!B13),'Scenarios_10'!F13,0)),0)</f>
        <v/>
      </c>
      <c r="I129" s="9">
        <f>IF(2=0,'Scenarios_10'!E13,0)</f>
        <v/>
      </c>
      <c r="J129" s="9">
        <f>IF(2=0,0,IF('Scenarios_10'!C13="uniform_pct",'Inputs_Data'!E7*(1-(MIN('Scenarios_10'!G13,'Assumptions'!B10))),IF('Scenarios_10'!C13="electricity_only_pct",('Inputs_Data'!C7*(1-(MIN('Scenarios_10'!G13,'Assumptions'!B10))))+'Inputs_Data'!D7,0+('Inputs_Data'!D7*(1-AVERAGE('Assumptions'!B6,'Assumptions'!B7,'Assumptions'!B8,'Assumptions'!B9))))))</f>
        <v/>
      </c>
      <c r="K129" s="9">
        <f>(IF(2=0,-'Inputs_Data'!H5,0))+(IF(AND(2&gt;=1,2&lt;='Scenarios_10'!B13),MAX(0,(MAX(0,'Scenarios_10'!D13-'Scenarios_10'!E13/'Scenarios_10'!B13))-IF(AND(2&gt;('Scenarios_10'!B13-4),2&lt;='Scenarios_10'!B13),'Scenarios_10'!F13,0)),0))+(IF(2=0,'Scenarios_10'!E13,0))-(IF(2=0,0,IF('Scenarios_10'!C13="uniform_pct",'Inputs_Data'!E7*(1-(MIN('Scenarios_10'!G13,'Assumptions'!B10))),IF('Scenarios_10'!C13="electricity_only_pct",('Inputs_Data'!C7*(1-(MIN('Scenarios_10'!G13,'Assumptions'!B10))))+'Inputs_Data'!D7,0+('Inputs_Data'!D7*(1-AVERAGE('Assumptions'!B6,'Assumptions'!B7,'Assumptions'!B8,'Assumptions'!B9)))))))</f>
        <v/>
      </c>
      <c r="L129" s="9">
        <f>(L128)+(K129)</f>
        <v/>
      </c>
    </row>
    <row r="130">
      <c r="A130" s="5" t="n">
        <v>3</v>
      </c>
      <c r="B130" s="9">
        <f>IF(3=0,-'Inputs_Data'!H5,0)</f>
        <v/>
      </c>
      <c r="C130" s="9">
        <f>IF(3=0,0,'Inputs_Data'!B8)</f>
        <v/>
      </c>
      <c r="D130" s="9">
        <f>IF(3=0,0,'Inputs_Data'!E8)</f>
        <v/>
      </c>
      <c r="E130" s="9">
        <f>(IF(3=0,-'Inputs_Data'!H5,0))+(IF(3=0,0,'Inputs_Data'!B8))-(IF(3=0,0,'Inputs_Data'!E8))</f>
        <v/>
      </c>
      <c r="F130" s="9">
        <f>(F129)+(E130)</f>
        <v/>
      </c>
      <c r="G130" s="9">
        <f>IF(3=0,-'Inputs_Data'!H5,0)</f>
        <v/>
      </c>
      <c r="H130" s="9">
        <f>IF(AND(3&gt;=1,3&lt;='Scenarios_10'!B13),MAX(0,(MAX(0,'Scenarios_10'!D13-'Scenarios_10'!E13/'Scenarios_10'!B13))-IF(AND(3&gt;('Scenarios_10'!B13-4),3&lt;='Scenarios_10'!B13),'Scenarios_10'!F13,0)),0)</f>
        <v/>
      </c>
      <c r="I130" s="9">
        <f>IF(3=0,'Scenarios_10'!E13,0)</f>
        <v/>
      </c>
      <c r="J130" s="9">
        <f>IF(3=0,0,IF('Scenarios_10'!C13="uniform_pct",'Inputs_Data'!E8*(1-(MIN('Scenarios_10'!G13,'Assumptions'!B10))),IF('Scenarios_10'!C13="electricity_only_pct",('Inputs_Data'!C8*(1-(MIN('Scenarios_10'!G13,'Assumptions'!B10))))+'Inputs_Data'!D8,0+('Inputs_Data'!D8*(1-AVERAGE('Assumptions'!B6,'Assumptions'!B7,'Assumptions'!B8,'Assumptions'!B9))))))</f>
        <v/>
      </c>
      <c r="K130" s="9">
        <f>(IF(3=0,-'Inputs_Data'!H5,0))+(IF(AND(3&gt;=1,3&lt;='Scenarios_10'!B13),MAX(0,(MAX(0,'Scenarios_10'!D13-'Scenarios_10'!E13/'Scenarios_10'!B13))-IF(AND(3&gt;('Scenarios_10'!B13-4),3&lt;='Scenarios_10'!B13),'Scenarios_10'!F13,0)),0))+(IF(3=0,'Scenarios_10'!E13,0))-(IF(3=0,0,IF('Scenarios_10'!C13="uniform_pct",'Inputs_Data'!E8*(1-(MIN('Scenarios_10'!G13,'Assumptions'!B10))),IF('Scenarios_10'!C13="electricity_only_pct",('Inputs_Data'!C8*(1-(MIN('Scenarios_10'!G13,'Assumptions'!B10))))+'Inputs_Data'!D8,0+('Inputs_Data'!D8*(1-AVERAGE('Assumptions'!B6,'Assumptions'!B7,'Assumptions'!B8,'Assumptions'!B9)))))))</f>
        <v/>
      </c>
      <c r="L130" s="9">
        <f>(L129)+(K130)</f>
        <v/>
      </c>
    </row>
    <row r="131">
      <c r="A131" s="5" t="n">
        <v>4</v>
      </c>
      <c r="B131" s="9">
        <f>IF(4=0,-'Inputs_Data'!H5,0)</f>
        <v/>
      </c>
      <c r="C131" s="9">
        <f>IF(4=0,0,'Inputs_Data'!B9)</f>
        <v/>
      </c>
      <c r="D131" s="9">
        <f>IF(4=0,0,'Inputs_Data'!E9)</f>
        <v/>
      </c>
      <c r="E131" s="9">
        <f>(IF(4=0,-'Inputs_Data'!H5,0))+(IF(4=0,0,'Inputs_Data'!B9))-(IF(4=0,0,'Inputs_Data'!E9))</f>
        <v/>
      </c>
      <c r="F131" s="9">
        <f>(F130)+(E131)</f>
        <v/>
      </c>
      <c r="G131" s="9">
        <f>IF(4=0,-'Inputs_Data'!H5,0)</f>
        <v/>
      </c>
      <c r="H131" s="9">
        <f>IF(AND(4&gt;=1,4&lt;='Scenarios_10'!B13),MAX(0,(MAX(0,'Scenarios_10'!D13-'Scenarios_10'!E13/'Scenarios_10'!B13))-IF(AND(4&gt;('Scenarios_10'!B13-4),4&lt;='Scenarios_10'!B13),'Scenarios_10'!F13,0)),0)</f>
        <v/>
      </c>
      <c r="I131" s="9">
        <f>IF(4=0,'Scenarios_10'!E13,0)</f>
        <v/>
      </c>
      <c r="J131" s="9">
        <f>IF(4=0,0,IF('Scenarios_10'!C13="uniform_pct",'Inputs_Data'!E9*(1-(MIN('Scenarios_10'!G13,'Assumptions'!B10))),IF('Scenarios_10'!C13="electricity_only_pct",('Inputs_Data'!C9*(1-(MIN('Scenarios_10'!G13,'Assumptions'!B10))))+'Inputs_Data'!D9,0+('Inputs_Data'!D9*(1-AVERAGE('Assumptions'!B6,'Assumptions'!B7,'Assumptions'!B8,'Assumptions'!B9))))))</f>
        <v/>
      </c>
      <c r="K131" s="9">
        <f>(IF(4=0,-'Inputs_Data'!H5,0))+(IF(AND(4&gt;=1,4&lt;='Scenarios_10'!B13),MAX(0,(MAX(0,'Scenarios_10'!D13-'Scenarios_10'!E13/'Scenarios_10'!B13))-IF(AND(4&gt;('Scenarios_10'!B13-4),4&lt;='Scenarios_10'!B13),'Scenarios_10'!F13,0)),0))+(IF(4=0,'Scenarios_10'!E13,0))-(IF(4=0,0,IF('Scenarios_10'!C13="uniform_pct",'Inputs_Data'!E9*(1-(MIN('Scenarios_10'!G13,'Assumptions'!B10))),IF('Scenarios_10'!C13="electricity_only_pct",('Inputs_Data'!C9*(1-(MIN('Scenarios_10'!G13,'Assumptions'!B10))))+'Inputs_Data'!D9,0+('Inputs_Data'!D9*(1-AVERAGE('Assumptions'!B6,'Assumptions'!B7,'Assumptions'!B8,'Assumptions'!B9)))))))</f>
        <v/>
      </c>
      <c r="L131" s="9">
        <f>(L130)+(K131)</f>
        <v/>
      </c>
    </row>
    <row r="132">
      <c r="A132" s="5" t="n">
        <v>5</v>
      </c>
      <c r="B132" s="9">
        <f>IF(5=0,-'Inputs_Data'!H5,0)</f>
        <v/>
      </c>
      <c r="C132" s="9">
        <f>IF(5=0,0,'Inputs_Data'!B10)</f>
        <v/>
      </c>
      <c r="D132" s="9">
        <f>IF(5=0,0,'Inputs_Data'!E10)</f>
        <v/>
      </c>
      <c r="E132" s="9">
        <f>(IF(5=0,-'Inputs_Data'!H5,0))+(IF(5=0,0,'Inputs_Data'!B10))-(IF(5=0,0,'Inputs_Data'!E10))</f>
        <v/>
      </c>
      <c r="F132" s="9">
        <f>(F131)+(E132)</f>
        <v/>
      </c>
      <c r="G132" s="9">
        <f>IF(5=0,-'Inputs_Data'!H5,0)</f>
        <v/>
      </c>
      <c r="H132" s="9">
        <f>IF(AND(5&gt;=1,5&lt;='Scenarios_10'!B13),MAX(0,(MAX(0,'Scenarios_10'!D13-'Scenarios_10'!E13/'Scenarios_10'!B13))-IF(AND(5&gt;('Scenarios_10'!B13-4),5&lt;='Scenarios_10'!B13),'Scenarios_10'!F13,0)),0)</f>
        <v/>
      </c>
      <c r="I132" s="9">
        <f>IF(5=0,'Scenarios_10'!E13,0)</f>
        <v/>
      </c>
      <c r="J132" s="9">
        <f>IF(5=0,0,IF('Scenarios_10'!C13="uniform_pct",'Inputs_Data'!E10*(1-(MIN('Scenarios_10'!G13,'Assumptions'!B10))),IF('Scenarios_10'!C13="electricity_only_pct",('Inputs_Data'!C10*(1-(MIN('Scenarios_10'!G13,'Assumptions'!B10))))+'Inputs_Data'!D10,0+('Inputs_Data'!D10*(1-AVERAGE('Assumptions'!B6,'Assumptions'!B7,'Assumptions'!B8,'Assumptions'!B9))))))</f>
        <v/>
      </c>
      <c r="K132" s="9">
        <f>(IF(5=0,-'Inputs_Data'!H5,0))+(IF(AND(5&gt;=1,5&lt;='Scenarios_10'!B13),MAX(0,(MAX(0,'Scenarios_10'!D13-'Scenarios_10'!E13/'Scenarios_10'!B13))-IF(AND(5&gt;('Scenarios_10'!B13-4),5&lt;='Scenarios_10'!B13),'Scenarios_10'!F13,0)),0))+(IF(5=0,'Scenarios_10'!E13,0))-(IF(5=0,0,IF('Scenarios_10'!C13="uniform_pct",'Inputs_Data'!E10*(1-(MIN('Scenarios_10'!G13,'Assumptions'!B10))),IF('Scenarios_10'!C13="electricity_only_pct",('Inputs_Data'!C10*(1-(MIN('Scenarios_10'!G13,'Assumptions'!B10))))+'Inputs_Data'!D10,0+('Inputs_Data'!D10*(1-AVERAGE('Assumptions'!B6,'Assumptions'!B7,'Assumptions'!B8,'Assumptions'!B9)))))))</f>
        <v/>
      </c>
      <c r="L132" s="9">
        <f>(L131)+(K132)</f>
        <v/>
      </c>
    </row>
    <row r="133">
      <c r="A133" s="5" t="n">
        <v>6</v>
      </c>
      <c r="B133" s="9">
        <f>IF(6=0,-'Inputs_Data'!H5,0)</f>
        <v/>
      </c>
      <c r="C133" s="9">
        <f>IF(6=0,0,'Inputs_Data'!B11)</f>
        <v/>
      </c>
      <c r="D133" s="9">
        <f>IF(6=0,0,'Inputs_Data'!E11)</f>
        <v/>
      </c>
      <c r="E133" s="9">
        <f>(IF(6=0,-'Inputs_Data'!H5,0))+(IF(6=0,0,'Inputs_Data'!B11))-(IF(6=0,0,'Inputs_Data'!E11))</f>
        <v/>
      </c>
      <c r="F133" s="9">
        <f>(F132)+(E133)</f>
        <v/>
      </c>
      <c r="G133" s="9">
        <f>IF(6=0,-'Inputs_Data'!H5,0)</f>
        <v/>
      </c>
      <c r="H133" s="9">
        <f>IF(AND(6&gt;=1,6&lt;='Scenarios_10'!B13),MAX(0,(MAX(0,'Scenarios_10'!D13-'Scenarios_10'!E13/'Scenarios_10'!B13))-IF(AND(6&gt;('Scenarios_10'!B13-4),6&lt;='Scenarios_10'!B13),'Scenarios_10'!F13,0)),0)</f>
        <v/>
      </c>
      <c r="I133" s="9">
        <f>IF(6=0,'Scenarios_10'!E13,0)</f>
        <v/>
      </c>
      <c r="J133" s="9">
        <f>IF(6=0,0,IF('Scenarios_10'!C13="uniform_pct",'Inputs_Data'!E11*(1-(MIN('Scenarios_10'!G13,'Assumptions'!B10))),IF('Scenarios_10'!C13="electricity_only_pct",('Inputs_Data'!C11*(1-(MIN('Scenarios_10'!G13,'Assumptions'!B10))))+'Inputs_Data'!D11,0+('Inputs_Data'!D11*(1-AVERAGE('Assumptions'!B6,'Assumptions'!B7,'Assumptions'!B8,'Assumptions'!B9))))))</f>
        <v/>
      </c>
      <c r="K133" s="9">
        <f>(IF(6=0,-'Inputs_Data'!H5,0))+(IF(AND(6&gt;=1,6&lt;='Scenarios_10'!B13),MAX(0,(MAX(0,'Scenarios_10'!D13-'Scenarios_10'!E13/'Scenarios_10'!B13))-IF(AND(6&gt;('Scenarios_10'!B13-4),6&lt;='Scenarios_10'!B13),'Scenarios_10'!F13,0)),0))+(IF(6=0,'Scenarios_10'!E13,0))-(IF(6=0,0,IF('Scenarios_10'!C13="uniform_pct",'Inputs_Data'!E11*(1-(MIN('Scenarios_10'!G13,'Assumptions'!B10))),IF('Scenarios_10'!C13="electricity_only_pct",('Inputs_Data'!C11*(1-(MIN('Scenarios_10'!G13,'Assumptions'!B10))))+'Inputs_Data'!D11,0+('Inputs_Data'!D11*(1-AVERAGE('Assumptions'!B6,'Assumptions'!B7,'Assumptions'!B8,'Assumptions'!B9)))))))</f>
        <v/>
      </c>
      <c r="L133" s="9">
        <f>(L132)+(K133)</f>
        <v/>
      </c>
    </row>
    <row r="134">
      <c r="A134" s="5" t="n">
        <v>7</v>
      </c>
      <c r="B134" s="9">
        <f>IF(7=0,-'Inputs_Data'!H5,0)</f>
        <v/>
      </c>
      <c r="C134" s="9">
        <f>IF(7=0,0,'Inputs_Data'!B12)</f>
        <v/>
      </c>
      <c r="D134" s="9">
        <f>IF(7=0,0,'Inputs_Data'!E12)</f>
        <v/>
      </c>
      <c r="E134" s="9">
        <f>(IF(7=0,-'Inputs_Data'!H5,0))+(IF(7=0,0,'Inputs_Data'!B12))-(IF(7=0,0,'Inputs_Data'!E12))</f>
        <v/>
      </c>
      <c r="F134" s="9">
        <f>(F133)+(E134)</f>
        <v/>
      </c>
      <c r="G134" s="9">
        <f>IF(7=0,-'Inputs_Data'!H5,0)</f>
        <v/>
      </c>
      <c r="H134" s="9">
        <f>IF(AND(7&gt;=1,7&lt;='Scenarios_10'!B13),MAX(0,(MAX(0,'Scenarios_10'!D13-'Scenarios_10'!E13/'Scenarios_10'!B13))-IF(AND(7&gt;('Scenarios_10'!B13-4),7&lt;='Scenarios_10'!B13),'Scenarios_10'!F13,0)),0)</f>
        <v/>
      </c>
      <c r="I134" s="9">
        <f>IF(7=0,'Scenarios_10'!E13,0)</f>
        <v/>
      </c>
      <c r="J134" s="9">
        <f>IF(7=0,0,IF('Scenarios_10'!C13="uniform_pct",'Inputs_Data'!E12*(1-(MIN('Scenarios_10'!G13,'Assumptions'!B10))),IF('Scenarios_10'!C13="electricity_only_pct",('Inputs_Data'!C12*(1-(MIN('Scenarios_10'!G13,'Assumptions'!B10))))+'Inputs_Data'!D12,0+('Inputs_Data'!D12*(1-AVERAGE('Assumptions'!B6,'Assumptions'!B7,'Assumptions'!B8,'Assumptions'!B9))))))</f>
        <v/>
      </c>
      <c r="K134" s="9">
        <f>(IF(7=0,-'Inputs_Data'!H5,0))+(IF(AND(7&gt;=1,7&lt;='Scenarios_10'!B13),MAX(0,(MAX(0,'Scenarios_10'!D13-'Scenarios_10'!E13/'Scenarios_10'!B13))-IF(AND(7&gt;('Scenarios_10'!B13-4),7&lt;='Scenarios_10'!B13),'Scenarios_10'!F13,0)),0))+(IF(7=0,'Scenarios_10'!E13,0))-(IF(7=0,0,IF('Scenarios_10'!C13="uniform_pct",'Inputs_Data'!E12*(1-(MIN('Scenarios_10'!G13,'Assumptions'!B10))),IF('Scenarios_10'!C13="electricity_only_pct",('Inputs_Data'!C12*(1-(MIN('Scenarios_10'!G13,'Assumptions'!B10))))+'Inputs_Data'!D12,0+('Inputs_Data'!D12*(1-AVERAGE('Assumptions'!B6,'Assumptions'!B7,'Assumptions'!B8,'Assumptions'!B9)))))))</f>
        <v/>
      </c>
      <c r="L134" s="9">
        <f>(L133)+(K134)</f>
        <v/>
      </c>
    </row>
    <row r="135">
      <c r="A135" s="5" t="n">
        <v>8</v>
      </c>
      <c r="B135" s="9">
        <f>IF(8=0,-'Inputs_Data'!H5,0)</f>
        <v/>
      </c>
      <c r="C135" s="9">
        <f>IF(8=0,0,'Inputs_Data'!B13)</f>
        <v/>
      </c>
      <c r="D135" s="9">
        <f>IF(8=0,0,'Inputs_Data'!E13)</f>
        <v/>
      </c>
      <c r="E135" s="9">
        <f>(IF(8=0,-'Inputs_Data'!H5,0))+(IF(8=0,0,'Inputs_Data'!B13))-(IF(8=0,0,'Inputs_Data'!E13))</f>
        <v/>
      </c>
      <c r="F135" s="9">
        <f>(F134)+(E135)</f>
        <v/>
      </c>
      <c r="G135" s="9">
        <f>IF(8=0,-'Inputs_Data'!H5,0)</f>
        <v/>
      </c>
      <c r="H135" s="9">
        <f>IF(AND(8&gt;=1,8&lt;='Scenarios_10'!B13),MAX(0,(MAX(0,'Scenarios_10'!D13-'Scenarios_10'!E13/'Scenarios_10'!B13))-IF(AND(8&gt;('Scenarios_10'!B13-4),8&lt;='Scenarios_10'!B13),'Scenarios_10'!F13,0)),0)</f>
        <v/>
      </c>
      <c r="I135" s="9">
        <f>IF(8=0,'Scenarios_10'!E13,0)</f>
        <v/>
      </c>
      <c r="J135" s="9">
        <f>IF(8=0,0,IF('Scenarios_10'!C13="uniform_pct",'Inputs_Data'!E13*(1-(MIN('Scenarios_10'!G13,'Assumptions'!B10))),IF('Scenarios_10'!C13="electricity_only_pct",('Inputs_Data'!C13*(1-(MIN('Scenarios_10'!G13,'Assumptions'!B10))))+'Inputs_Data'!D13,0+('Inputs_Data'!D13*(1-AVERAGE('Assumptions'!B6,'Assumptions'!B7,'Assumptions'!B8,'Assumptions'!B9))))))</f>
        <v/>
      </c>
      <c r="K135" s="9">
        <f>(IF(8=0,-'Inputs_Data'!H5,0))+(IF(AND(8&gt;=1,8&lt;='Scenarios_10'!B13),MAX(0,(MAX(0,'Scenarios_10'!D13-'Scenarios_10'!E13/'Scenarios_10'!B13))-IF(AND(8&gt;('Scenarios_10'!B13-4),8&lt;='Scenarios_10'!B13),'Scenarios_10'!F13,0)),0))+(IF(8=0,'Scenarios_10'!E13,0))-(IF(8=0,0,IF('Scenarios_10'!C13="uniform_pct",'Inputs_Data'!E13*(1-(MIN('Scenarios_10'!G13,'Assumptions'!B10))),IF('Scenarios_10'!C13="electricity_only_pct",('Inputs_Data'!C13*(1-(MIN('Scenarios_10'!G13,'Assumptions'!B10))))+'Inputs_Data'!D13,0+('Inputs_Data'!D13*(1-AVERAGE('Assumptions'!B6,'Assumptions'!B7,'Assumptions'!B8,'Assumptions'!B9)))))))</f>
        <v/>
      </c>
      <c r="L135" s="9">
        <f>(L134)+(K135)</f>
        <v/>
      </c>
    </row>
    <row r="136">
      <c r="A136" s="5" t="n">
        <v>9</v>
      </c>
      <c r="B136" s="9">
        <f>IF(9=0,-'Inputs_Data'!H5,0)</f>
        <v/>
      </c>
      <c r="C136" s="9">
        <f>IF(9=0,0,'Inputs_Data'!B14)</f>
        <v/>
      </c>
      <c r="D136" s="9">
        <f>IF(9=0,0,'Inputs_Data'!E14)</f>
        <v/>
      </c>
      <c r="E136" s="9">
        <f>(IF(9=0,-'Inputs_Data'!H5,0))+(IF(9=0,0,'Inputs_Data'!B14))-(IF(9=0,0,'Inputs_Data'!E14))</f>
        <v/>
      </c>
      <c r="F136" s="9">
        <f>(F135)+(E136)</f>
        <v/>
      </c>
      <c r="G136" s="9">
        <f>IF(9=0,-'Inputs_Data'!H5,0)</f>
        <v/>
      </c>
      <c r="H136" s="9">
        <f>IF(AND(9&gt;=1,9&lt;='Scenarios_10'!B13),MAX(0,(MAX(0,'Scenarios_10'!D13-'Scenarios_10'!E13/'Scenarios_10'!B13))-IF(AND(9&gt;('Scenarios_10'!B13-4),9&lt;='Scenarios_10'!B13),'Scenarios_10'!F13,0)),0)</f>
        <v/>
      </c>
      <c r="I136" s="9">
        <f>IF(9=0,'Scenarios_10'!E13,0)</f>
        <v/>
      </c>
      <c r="J136" s="9">
        <f>IF(9=0,0,IF('Scenarios_10'!C13="uniform_pct",'Inputs_Data'!E14*(1-(MIN('Scenarios_10'!G13,'Assumptions'!B10))),IF('Scenarios_10'!C13="electricity_only_pct",('Inputs_Data'!C14*(1-(MIN('Scenarios_10'!G13,'Assumptions'!B10))))+'Inputs_Data'!D14,0+('Inputs_Data'!D14*(1-AVERAGE('Assumptions'!B6,'Assumptions'!B7,'Assumptions'!B8,'Assumptions'!B9))))))</f>
        <v/>
      </c>
      <c r="K136" s="9">
        <f>(IF(9=0,-'Inputs_Data'!H5,0))+(IF(AND(9&gt;=1,9&lt;='Scenarios_10'!B13),MAX(0,(MAX(0,'Scenarios_10'!D13-'Scenarios_10'!E13/'Scenarios_10'!B13))-IF(AND(9&gt;('Scenarios_10'!B13-4),9&lt;='Scenarios_10'!B13),'Scenarios_10'!F13,0)),0))+(IF(9=0,'Scenarios_10'!E13,0))-(IF(9=0,0,IF('Scenarios_10'!C13="uniform_pct",'Inputs_Data'!E14*(1-(MIN('Scenarios_10'!G13,'Assumptions'!B10))),IF('Scenarios_10'!C13="electricity_only_pct",('Inputs_Data'!C14*(1-(MIN('Scenarios_10'!G13,'Assumptions'!B10))))+'Inputs_Data'!D14,0+('Inputs_Data'!D14*(1-AVERAGE('Assumptions'!B6,'Assumptions'!B7,'Assumptions'!B8,'Assumptions'!B9)))))))</f>
        <v/>
      </c>
      <c r="L136" s="9">
        <f>(L135)+(K136)</f>
        <v/>
      </c>
    </row>
    <row r="137">
      <c r="A137" s="5" t="n">
        <v>10</v>
      </c>
      <c r="B137" s="9">
        <f>IF(10=0,-'Inputs_Data'!H5,0)</f>
        <v/>
      </c>
      <c r="C137" s="9">
        <f>IF(10=0,0,'Inputs_Data'!B15)</f>
        <v/>
      </c>
      <c r="D137" s="9">
        <f>IF(10=0,0,'Inputs_Data'!E15)</f>
        <v/>
      </c>
      <c r="E137" s="9">
        <f>(IF(10=0,-'Inputs_Data'!H5,0))+(IF(10=0,0,'Inputs_Data'!B15))-(IF(10=0,0,'Inputs_Data'!E15))</f>
        <v/>
      </c>
      <c r="F137" s="9">
        <f>(F136)+(E137)</f>
        <v/>
      </c>
      <c r="G137" s="9">
        <f>IF(10=0,-'Inputs_Data'!H5,0)</f>
        <v/>
      </c>
      <c r="H137" s="9">
        <f>IF(AND(10&gt;=1,10&lt;='Scenarios_10'!B13),MAX(0,(MAX(0,'Scenarios_10'!D13-'Scenarios_10'!E13/'Scenarios_10'!B13))-IF(AND(10&gt;('Scenarios_10'!B13-4),10&lt;='Scenarios_10'!B13),'Scenarios_10'!F13,0)),0)</f>
        <v/>
      </c>
      <c r="I137" s="9">
        <f>IF(10=0,'Scenarios_10'!E13,0)</f>
        <v/>
      </c>
      <c r="J137" s="9">
        <f>IF(10=0,0,IF('Scenarios_10'!C13="uniform_pct",'Inputs_Data'!E15*(1-(MIN('Scenarios_10'!G13,'Assumptions'!B10))),IF('Scenarios_10'!C13="electricity_only_pct",('Inputs_Data'!C15*(1-(MIN('Scenarios_10'!G13,'Assumptions'!B10))))+'Inputs_Data'!D15,0+('Inputs_Data'!D15*(1-AVERAGE('Assumptions'!B6,'Assumptions'!B7,'Assumptions'!B8,'Assumptions'!B9))))))</f>
        <v/>
      </c>
      <c r="K137" s="9">
        <f>(IF(10=0,-'Inputs_Data'!H5,0))+(IF(AND(10&gt;=1,10&lt;='Scenarios_10'!B13),MAX(0,(MAX(0,'Scenarios_10'!D13-'Scenarios_10'!E13/'Scenarios_10'!B13))-IF(AND(10&gt;('Scenarios_10'!B13-4),10&lt;='Scenarios_10'!B13),'Scenarios_10'!F13,0)),0))+(IF(10=0,'Scenarios_10'!E13,0))-(IF(10=0,0,IF('Scenarios_10'!C13="uniform_pct",'Inputs_Data'!E15*(1-(MIN('Scenarios_10'!G13,'Assumptions'!B10))),IF('Scenarios_10'!C13="electricity_only_pct",('Inputs_Data'!C15*(1-(MIN('Scenarios_10'!G13,'Assumptions'!B10))))+'Inputs_Data'!D15,0+('Inputs_Data'!D15*(1-AVERAGE('Assumptions'!B6,'Assumptions'!B7,'Assumptions'!B8,'Assumptions'!B9)))))))</f>
        <v/>
      </c>
      <c r="L137" s="9">
        <f>(L136)+(K137)</f>
        <v/>
      </c>
    </row>
    <row r="140">
      <c r="A140" s="6" t="inlineStr">
        <is>
          <t>Tier: ='Scenarios_10'!A14</t>
        </is>
      </c>
    </row>
    <row r="141">
      <c r="A141" s="4" t="inlineStr">
        <is>
          <t>year</t>
        </is>
      </c>
      <c r="B141" s="4" t="inlineStr">
        <is>
          <t>trust_capex</t>
        </is>
      </c>
      <c r="C141" s="4" t="inlineStr">
        <is>
          <t>trust_fee</t>
        </is>
      </c>
      <c r="D141" s="4" t="inlineStr">
        <is>
          <t>trust_cash_opex</t>
        </is>
      </c>
      <c r="E141" s="4" t="inlineStr">
        <is>
          <t>trust_net_cf</t>
        </is>
      </c>
      <c r="F141" s="4" t="inlineStr">
        <is>
          <t>trust_cum_cf</t>
        </is>
      </c>
      <c r="G141" s="4" t="inlineStr">
        <is>
          <t>laas_capex</t>
        </is>
      </c>
      <c r="H141" s="4" t="inlineStr">
        <is>
          <t>laas_fee</t>
        </is>
      </c>
      <c r="I141" s="4" t="inlineStr">
        <is>
          <t>laas_upfront</t>
        </is>
      </c>
      <c r="J141" s="4" t="inlineStr">
        <is>
          <t>laas_cash_opex</t>
        </is>
      </c>
      <c r="K141" s="4" t="inlineStr">
        <is>
          <t>laas_net_cf</t>
        </is>
      </c>
      <c r="L141" s="4" t="inlineStr">
        <is>
          <t>laas_cum_cf</t>
        </is>
      </c>
    </row>
    <row r="142">
      <c r="A142" s="5" t="n">
        <v>0</v>
      </c>
      <c r="B142" s="9">
        <f>IF(0=0,-'Inputs_Data'!H5,0)</f>
        <v/>
      </c>
      <c r="C142" s="9">
        <f>IF(0=0,0,'Inputs_Data'!B5)</f>
        <v/>
      </c>
      <c r="D142" s="9">
        <f>IF(0=0,0,'Inputs_Data'!E5)</f>
        <v/>
      </c>
      <c r="E142" s="9">
        <f>(IF(0=0,-'Inputs_Data'!H5,0))+(IF(0=0,0,'Inputs_Data'!B5))-(IF(0=0,0,'Inputs_Data'!E5))</f>
        <v/>
      </c>
      <c r="F142" s="9">
        <f>(0)+(E142)</f>
        <v/>
      </c>
      <c r="G142" s="9">
        <f>IF(0=0,-'Inputs_Data'!H5,0)</f>
        <v/>
      </c>
      <c r="H142" s="9">
        <f>IF(AND(0&gt;=1,0&lt;='Scenarios_10'!B14),MAX(0,(MAX(0,'Scenarios_10'!D14-'Scenarios_10'!E14/'Scenarios_10'!B14))-IF(AND(0&gt;('Scenarios_10'!B14-4),0&lt;='Scenarios_10'!B14),'Scenarios_10'!F14,0)),0)</f>
        <v/>
      </c>
      <c r="I142" s="9">
        <f>IF(0=0,'Scenarios_10'!E14,0)</f>
        <v/>
      </c>
      <c r="J142" s="9">
        <f>IF(0=0,0,IF('Scenarios_10'!C14="uniform_pct",'Inputs_Data'!E5*(1-(MIN('Scenarios_10'!G14,'Assumptions'!B10))),IF('Scenarios_10'!C14="electricity_only_pct",('Inputs_Data'!C5*(1-(MIN('Scenarios_10'!G14,'Assumptions'!B10))))+'Inputs_Data'!D5,0+('Inputs_Data'!D5*(1-AVERAGE('Assumptions'!B6,'Assumptions'!B7,'Assumptions'!B8,'Assumptions'!B9))))))</f>
        <v/>
      </c>
      <c r="K142" s="9">
        <f>(IF(0=0,-'Inputs_Data'!H5,0))+(IF(AND(0&gt;=1,0&lt;='Scenarios_10'!B14),MAX(0,(MAX(0,'Scenarios_10'!D14-'Scenarios_10'!E14/'Scenarios_10'!B14))-IF(AND(0&gt;('Scenarios_10'!B14-4),0&lt;='Scenarios_10'!B14),'Scenarios_10'!F14,0)),0))+(IF(0=0,'Scenarios_10'!E14,0))-(IF(0=0,0,IF('Scenarios_10'!C14="uniform_pct",'Inputs_Data'!E5*(1-(MIN('Scenarios_10'!G14,'Assumptions'!B10))),IF('Scenarios_10'!C14="electricity_only_pct",('Inputs_Data'!C5*(1-(MIN('Scenarios_10'!G14,'Assumptions'!B10))))+'Inputs_Data'!D5,0+('Inputs_Data'!D5*(1-AVERAGE('Assumptions'!B6,'Assumptions'!B7,'Assumptions'!B8,'Assumptions'!B9)))))))</f>
        <v/>
      </c>
      <c r="L142" s="9">
        <f>(0)+(K142)</f>
        <v/>
      </c>
    </row>
    <row r="143">
      <c r="A143" s="5" t="n">
        <v>1</v>
      </c>
      <c r="B143" s="9">
        <f>IF(1=0,-'Inputs_Data'!H5,0)</f>
        <v/>
      </c>
      <c r="C143" s="9">
        <f>IF(1=0,0,'Inputs_Data'!B6)</f>
        <v/>
      </c>
      <c r="D143" s="9">
        <f>IF(1=0,0,'Inputs_Data'!E6)</f>
        <v/>
      </c>
      <c r="E143" s="9">
        <f>(IF(1=0,-'Inputs_Data'!H5,0))+(IF(1=0,0,'Inputs_Data'!B6))-(IF(1=0,0,'Inputs_Data'!E6))</f>
        <v/>
      </c>
      <c r="F143" s="9">
        <f>(F142)+(E143)</f>
        <v/>
      </c>
      <c r="G143" s="9">
        <f>IF(1=0,-'Inputs_Data'!H5,0)</f>
        <v/>
      </c>
      <c r="H143" s="9">
        <f>IF(AND(1&gt;=1,1&lt;='Scenarios_10'!B14),MAX(0,(MAX(0,'Scenarios_10'!D14-'Scenarios_10'!E14/'Scenarios_10'!B14))-IF(AND(1&gt;('Scenarios_10'!B14-4),1&lt;='Scenarios_10'!B14),'Scenarios_10'!F14,0)),0)</f>
        <v/>
      </c>
      <c r="I143" s="9">
        <f>IF(1=0,'Scenarios_10'!E14,0)</f>
        <v/>
      </c>
      <c r="J143" s="9">
        <f>IF(1=0,0,IF('Scenarios_10'!C14="uniform_pct",'Inputs_Data'!E6*(1-(MIN('Scenarios_10'!G14,'Assumptions'!B10))),IF('Scenarios_10'!C14="electricity_only_pct",('Inputs_Data'!C6*(1-(MIN('Scenarios_10'!G14,'Assumptions'!B10))))+'Inputs_Data'!D6,0+('Inputs_Data'!D6*(1-AVERAGE('Assumptions'!B6,'Assumptions'!B7,'Assumptions'!B8,'Assumptions'!B9))))))</f>
        <v/>
      </c>
      <c r="K143" s="9">
        <f>(IF(1=0,-'Inputs_Data'!H5,0))+(IF(AND(1&gt;=1,1&lt;='Scenarios_10'!B14),MAX(0,(MAX(0,'Scenarios_10'!D14-'Scenarios_10'!E14/'Scenarios_10'!B14))-IF(AND(1&gt;('Scenarios_10'!B14-4),1&lt;='Scenarios_10'!B14),'Scenarios_10'!F14,0)),0))+(IF(1=0,'Scenarios_10'!E14,0))-(IF(1=0,0,IF('Scenarios_10'!C14="uniform_pct",'Inputs_Data'!E6*(1-(MIN('Scenarios_10'!G14,'Assumptions'!B10))),IF('Scenarios_10'!C14="electricity_only_pct",('Inputs_Data'!C6*(1-(MIN('Scenarios_10'!G14,'Assumptions'!B10))))+'Inputs_Data'!D6,0+('Inputs_Data'!D6*(1-AVERAGE('Assumptions'!B6,'Assumptions'!B7,'Assumptions'!B8,'Assumptions'!B9)))))))</f>
        <v/>
      </c>
      <c r="L143" s="9">
        <f>(L142)+(K143)</f>
        <v/>
      </c>
    </row>
    <row r="144">
      <c r="A144" s="5" t="n">
        <v>2</v>
      </c>
      <c r="B144" s="9">
        <f>IF(2=0,-'Inputs_Data'!H5,0)</f>
        <v/>
      </c>
      <c r="C144" s="9">
        <f>IF(2=0,0,'Inputs_Data'!B7)</f>
        <v/>
      </c>
      <c r="D144" s="9">
        <f>IF(2=0,0,'Inputs_Data'!E7)</f>
        <v/>
      </c>
      <c r="E144" s="9">
        <f>(IF(2=0,-'Inputs_Data'!H5,0))+(IF(2=0,0,'Inputs_Data'!B7))-(IF(2=0,0,'Inputs_Data'!E7))</f>
        <v/>
      </c>
      <c r="F144" s="9">
        <f>(F143)+(E144)</f>
        <v/>
      </c>
      <c r="G144" s="9">
        <f>IF(2=0,-'Inputs_Data'!H5,0)</f>
        <v/>
      </c>
      <c r="H144" s="9">
        <f>IF(AND(2&gt;=1,2&lt;='Scenarios_10'!B14),MAX(0,(MAX(0,'Scenarios_10'!D14-'Scenarios_10'!E14/'Scenarios_10'!B14))-IF(AND(2&gt;('Scenarios_10'!B14-4),2&lt;='Scenarios_10'!B14),'Scenarios_10'!F14,0)),0)</f>
        <v/>
      </c>
      <c r="I144" s="9">
        <f>IF(2=0,'Scenarios_10'!E14,0)</f>
        <v/>
      </c>
      <c r="J144" s="9">
        <f>IF(2=0,0,IF('Scenarios_10'!C14="uniform_pct",'Inputs_Data'!E7*(1-(MIN('Scenarios_10'!G14,'Assumptions'!B10))),IF('Scenarios_10'!C14="electricity_only_pct",('Inputs_Data'!C7*(1-(MIN('Scenarios_10'!G14,'Assumptions'!B10))))+'Inputs_Data'!D7,0+('Inputs_Data'!D7*(1-AVERAGE('Assumptions'!B6,'Assumptions'!B7,'Assumptions'!B8,'Assumptions'!B9))))))</f>
        <v/>
      </c>
      <c r="K144" s="9">
        <f>(IF(2=0,-'Inputs_Data'!H5,0))+(IF(AND(2&gt;=1,2&lt;='Scenarios_10'!B14),MAX(0,(MAX(0,'Scenarios_10'!D14-'Scenarios_10'!E14/'Scenarios_10'!B14))-IF(AND(2&gt;('Scenarios_10'!B14-4),2&lt;='Scenarios_10'!B14),'Scenarios_10'!F14,0)),0))+(IF(2=0,'Scenarios_10'!E14,0))-(IF(2=0,0,IF('Scenarios_10'!C14="uniform_pct",'Inputs_Data'!E7*(1-(MIN('Scenarios_10'!G14,'Assumptions'!B10))),IF('Scenarios_10'!C14="electricity_only_pct",('Inputs_Data'!C7*(1-(MIN('Scenarios_10'!G14,'Assumptions'!B10))))+'Inputs_Data'!D7,0+('Inputs_Data'!D7*(1-AVERAGE('Assumptions'!B6,'Assumptions'!B7,'Assumptions'!B8,'Assumptions'!B9)))))))</f>
        <v/>
      </c>
      <c r="L144" s="9">
        <f>(L143)+(K144)</f>
        <v/>
      </c>
    </row>
    <row r="145">
      <c r="A145" s="5" t="n">
        <v>3</v>
      </c>
      <c r="B145" s="9">
        <f>IF(3=0,-'Inputs_Data'!H5,0)</f>
        <v/>
      </c>
      <c r="C145" s="9">
        <f>IF(3=0,0,'Inputs_Data'!B8)</f>
        <v/>
      </c>
      <c r="D145" s="9">
        <f>IF(3=0,0,'Inputs_Data'!E8)</f>
        <v/>
      </c>
      <c r="E145" s="9">
        <f>(IF(3=0,-'Inputs_Data'!H5,0))+(IF(3=0,0,'Inputs_Data'!B8))-(IF(3=0,0,'Inputs_Data'!E8))</f>
        <v/>
      </c>
      <c r="F145" s="9">
        <f>(F144)+(E145)</f>
        <v/>
      </c>
      <c r="G145" s="9">
        <f>IF(3=0,-'Inputs_Data'!H5,0)</f>
        <v/>
      </c>
      <c r="H145" s="9">
        <f>IF(AND(3&gt;=1,3&lt;='Scenarios_10'!B14),MAX(0,(MAX(0,'Scenarios_10'!D14-'Scenarios_10'!E14/'Scenarios_10'!B14))-IF(AND(3&gt;('Scenarios_10'!B14-4),3&lt;='Scenarios_10'!B14),'Scenarios_10'!F14,0)),0)</f>
        <v/>
      </c>
      <c r="I145" s="9">
        <f>IF(3=0,'Scenarios_10'!E14,0)</f>
        <v/>
      </c>
      <c r="J145" s="9">
        <f>IF(3=0,0,IF('Scenarios_10'!C14="uniform_pct",'Inputs_Data'!E8*(1-(MIN('Scenarios_10'!G14,'Assumptions'!B10))),IF('Scenarios_10'!C14="electricity_only_pct",('Inputs_Data'!C8*(1-(MIN('Scenarios_10'!G14,'Assumptions'!B10))))+'Inputs_Data'!D8,0+('Inputs_Data'!D8*(1-AVERAGE('Assumptions'!B6,'Assumptions'!B7,'Assumptions'!B8,'Assumptions'!B9))))))</f>
        <v/>
      </c>
      <c r="K145" s="9">
        <f>(IF(3=0,-'Inputs_Data'!H5,0))+(IF(AND(3&gt;=1,3&lt;='Scenarios_10'!B14),MAX(0,(MAX(0,'Scenarios_10'!D14-'Scenarios_10'!E14/'Scenarios_10'!B14))-IF(AND(3&gt;('Scenarios_10'!B14-4),3&lt;='Scenarios_10'!B14),'Scenarios_10'!F14,0)),0))+(IF(3=0,'Scenarios_10'!E14,0))-(IF(3=0,0,IF('Scenarios_10'!C14="uniform_pct",'Inputs_Data'!E8*(1-(MIN('Scenarios_10'!G14,'Assumptions'!B10))),IF('Scenarios_10'!C14="electricity_only_pct",('Inputs_Data'!C8*(1-(MIN('Scenarios_10'!G14,'Assumptions'!B10))))+'Inputs_Data'!D8,0+('Inputs_Data'!D8*(1-AVERAGE('Assumptions'!B6,'Assumptions'!B7,'Assumptions'!B8,'Assumptions'!B9)))))))</f>
        <v/>
      </c>
      <c r="L145" s="9">
        <f>(L144)+(K145)</f>
        <v/>
      </c>
    </row>
    <row r="146">
      <c r="A146" s="5" t="n">
        <v>4</v>
      </c>
      <c r="B146" s="9">
        <f>IF(4=0,-'Inputs_Data'!H5,0)</f>
        <v/>
      </c>
      <c r="C146" s="9">
        <f>IF(4=0,0,'Inputs_Data'!B9)</f>
        <v/>
      </c>
      <c r="D146" s="9">
        <f>IF(4=0,0,'Inputs_Data'!E9)</f>
        <v/>
      </c>
      <c r="E146" s="9">
        <f>(IF(4=0,-'Inputs_Data'!H5,0))+(IF(4=0,0,'Inputs_Data'!B9))-(IF(4=0,0,'Inputs_Data'!E9))</f>
        <v/>
      </c>
      <c r="F146" s="9">
        <f>(F145)+(E146)</f>
        <v/>
      </c>
      <c r="G146" s="9">
        <f>IF(4=0,-'Inputs_Data'!H5,0)</f>
        <v/>
      </c>
      <c r="H146" s="9">
        <f>IF(AND(4&gt;=1,4&lt;='Scenarios_10'!B14),MAX(0,(MAX(0,'Scenarios_10'!D14-'Scenarios_10'!E14/'Scenarios_10'!B14))-IF(AND(4&gt;('Scenarios_10'!B14-4),4&lt;='Scenarios_10'!B14),'Scenarios_10'!F14,0)),0)</f>
        <v/>
      </c>
      <c r="I146" s="9">
        <f>IF(4=0,'Scenarios_10'!E14,0)</f>
        <v/>
      </c>
      <c r="J146" s="9">
        <f>IF(4=0,0,IF('Scenarios_10'!C14="uniform_pct",'Inputs_Data'!E9*(1-(MIN('Scenarios_10'!G14,'Assumptions'!B10))),IF('Scenarios_10'!C14="electricity_only_pct",('Inputs_Data'!C9*(1-(MIN('Scenarios_10'!G14,'Assumptions'!B10))))+'Inputs_Data'!D9,0+('Inputs_Data'!D9*(1-AVERAGE('Assumptions'!B6,'Assumptions'!B7,'Assumptions'!B8,'Assumptions'!B9))))))</f>
        <v/>
      </c>
      <c r="K146" s="9">
        <f>(IF(4=0,-'Inputs_Data'!H5,0))+(IF(AND(4&gt;=1,4&lt;='Scenarios_10'!B14),MAX(0,(MAX(0,'Scenarios_10'!D14-'Scenarios_10'!E14/'Scenarios_10'!B14))-IF(AND(4&gt;('Scenarios_10'!B14-4),4&lt;='Scenarios_10'!B14),'Scenarios_10'!F14,0)),0))+(IF(4=0,'Scenarios_10'!E14,0))-(IF(4=0,0,IF('Scenarios_10'!C14="uniform_pct",'Inputs_Data'!E9*(1-(MIN('Scenarios_10'!G14,'Assumptions'!B10))),IF('Scenarios_10'!C14="electricity_only_pct",('Inputs_Data'!C9*(1-(MIN('Scenarios_10'!G14,'Assumptions'!B10))))+'Inputs_Data'!D9,0+('Inputs_Data'!D9*(1-AVERAGE('Assumptions'!B6,'Assumptions'!B7,'Assumptions'!B8,'Assumptions'!B9)))))))</f>
        <v/>
      </c>
      <c r="L146" s="9">
        <f>(L145)+(K146)</f>
        <v/>
      </c>
    </row>
    <row r="147">
      <c r="A147" s="5" t="n">
        <v>5</v>
      </c>
      <c r="B147" s="9">
        <f>IF(5=0,-'Inputs_Data'!H5,0)</f>
        <v/>
      </c>
      <c r="C147" s="9">
        <f>IF(5=0,0,'Inputs_Data'!B10)</f>
        <v/>
      </c>
      <c r="D147" s="9">
        <f>IF(5=0,0,'Inputs_Data'!E10)</f>
        <v/>
      </c>
      <c r="E147" s="9">
        <f>(IF(5=0,-'Inputs_Data'!H5,0))+(IF(5=0,0,'Inputs_Data'!B10))-(IF(5=0,0,'Inputs_Data'!E10))</f>
        <v/>
      </c>
      <c r="F147" s="9">
        <f>(F146)+(E147)</f>
        <v/>
      </c>
      <c r="G147" s="9">
        <f>IF(5=0,-'Inputs_Data'!H5,0)</f>
        <v/>
      </c>
      <c r="H147" s="9">
        <f>IF(AND(5&gt;=1,5&lt;='Scenarios_10'!B14),MAX(0,(MAX(0,'Scenarios_10'!D14-'Scenarios_10'!E14/'Scenarios_10'!B14))-IF(AND(5&gt;('Scenarios_10'!B14-4),5&lt;='Scenarios_10'!B14),'Scenarios_10'!F14,0)),0)</f>
        <v/>
      </c>
      <c r="I147" s="9">
        <f>IF(5=0,'Scenarios_10'!E14,0)</f>
        <v/>
      </c>
      <c r="J147" s="9">
        <f>IF(5=0,0,IF('Scenarios_10'!C14="uniform_pct",'Inputs_Data'!E10*(1-(MIN('Scenarios_10'!G14,'Assumptions'!B10))),IF('Scenarios_10'!C14="electricity_only_pct",('Inputs_Data'!C10*(1-(MIN('Scenarios_10'!G14,'Assumptions'!B10))))+'Inputs_Data'!D10,0+('Inputs_Data'!D10*(1-AVERAGE('Assumptions'!B6,'Assumptions'!B7,'Assumptions'!B8,'Assumptions'!B9))))))</f>
        <v/>
      </c>
      <c r="K147" s="9">
        <f>(IF(5=0,-'Inputs_Data'!H5,0))+(IF(AND(5&gt;=1,5&lt;='Scenarios_10'!B14),MAX(0,(MAX(0,'Scenarios_10'!D14-'Scenarios_10'!E14/'Scenarios_10'!B14))-IF(AND(5&gt;('Scenarios_10'!B14-4),5&lt;='Scenarios_10'!B14),'Scenarios_10'!F14,0)),0))+(IF(5=0,'Scenarios_10'!E14,0))-(IF(5=0,0,IF('Scenarios_10'!C14="uniform_pct",'Inputs_Data'!E10*(1-(MIN('Scenarios_10'!G14,'Assumptions'!B10))),IF('Scenarios_10'!C14="electricity_only_pct",('Inputs_Data'!C10*(1-(MIN('Scenarios_10'!G14,'Assumptions'!B10))))+'Inputs_Data'!D10,0+('Inputs_Data'!D10*(1-AVERAGE('Assumptions'!B6,'Assumptions'!B7,'Assumptions'!B8,'Assumptions'!B9)))))))</f>
        <v/>
      </c>
      <c r="L147" s="9">
        <f>(L146)+(K147)</f>
        <v/>
      </c>
    </row>
    <row r="148">
      <c r="A148" s="5" t="n">
        <v>6</v>
      </c>
      <c r="B148" s="9">
        <f>IF(6=0,-'Inputs_Data'!H5,0)</f>
        <v/>
      </c>
      <c r="C148" s="9">
        <f>IF(6=0,0,'Inputs_Data'!B11)</f>
        <v/>
      </c>
      <c r="D148" s="9">
        <f>IF(6=0,0,'Inputs_Data'!E11)</f>
        <v/>
      </c>
      <c r="E148" s="9">
        <f>(IF(6=0,-'Inputs_Data'!H5,0))+(IF(6=0,0,'Inputs_Data'!B11))-(IF(6=0,0,'Inputs_Data'!E11))</f>
        <v/>
      </c>
      <c r="F148" s="9">
        <f>(F147)+(E148)</f>
        <v/>
      </c>
      <c r="G148" s="9">
        <f>IF(6=0,-'Inputs_Data'!H5,0)</f>
        <v/>
      </c>
      <c r="H148" s="9">
        <f>IF(AND(6&gt;=1,6&lt;='Scenarios_10'!B14),MAX(0,(MAX(0,'Scenarios_10'!D14-'Scenarios_10'!E14/'Scenarios_10'!B14))-IF(AND(6&gt;('Scenarios_10'!B14-4),6&lt;='Scenarios_10'!B14),'Scenarios_10'!F14,0)),0)</f>
        <v/>
      </c>
      <c r="I148" s="9">
        <f>IF(6=0,'Scenarios_10'!E14,0)</f>
        <v/>
      </c>
      <c r="J148" s="9">
        <f>IF(6=0,0,IF('Scenarios_10'!C14="uniform_pct",'Inputs_Data'!E11*(1-(MIN('Scenarios_10'!G14,'Assumptions'!B10))),IF('Scenarios_10'!C14="electricity_only_pct",('Inputs_Data'!C11*(1-(MIN('Scenarios_10'!G14,'Assumptions'!B10))))+'Inputs_Data'!D11,0+('Inputs_Data'!D11*(1-AVERAGE('Assumptions'!B6,'Assumptions'!B7,'Assumptions'!B8,'Assumptions'!B9))))))</f>
        <v/>
      </c>
      <c r="K148" s="9">
        <f>(IF(6=0,-'Inputs_Data'!H5,0))+(IF(AND(6&gt;=1,6&lt;='Scenarios_10'!B14),MAX(0,(MAX(0,'Scenarios_10'!D14-'Scenarios_10'!E14/'Scenarios_10'!B14))-IF(AND(6&gt;('Scenarios_10'!B14-4),6&lt;='Scenarios_10'!B14),'Scenarios_10'!F14,0)),0))+(IF(6=0,'Scenarios_10'!E14,0))-(IF(6=0,0,IF('Scenarios_10'!C14="uniform_pct",'Inputs_Data'!E11*(1-(MIN('Scenarios_10'!G14,'Assumptions'!B10))),IF('Scenarios_10'!C14="electricity_only_pct",('Inputs_Data'!C11*(1-(MIN('Scenarios_10'!G14,'Assumptions'!B10))))+'Inputs_Data'!D11,0+('Inputs_Data'!D11*(1-AVERAGE('Assumptions'!B6,'Assumptions'!B7,'Assumptions'!B8,'Assumptions'!B9)))))))</f>
        <v/>
      </c>
      <c r="L148" s="9">
        <f>(L147)+(K148)</f>
        <v/>
      </c>
    </row>
    <row r="149">
      <c r="A149" s="5" t="n">
        <v>7</v>
      </c>
      <c r="B149" s="9">
        <f>IF(7=0,-'Inputs_Data'!H5,0)</f>
        <v/>
      </c>
      <c r="C149" s="9">
        <f>IF(7=0,0,'Inputs_Data'!B12)</f>
        <v/>
      </c>
      <c r="D149" s="9">
        <f>IF(7=0,0,'Inputs_Data'!E12)</f>
        <v/>
      </c>
      <c r="E149" s="9">
        <f>(IF(7=0,-'Inputs_Data'!H5,0))+(IF(7=0,0,'Inputs_Data'!B12))-(IF(7=0,0,'Inputs_Data'!E12))</f>
        <v/>
      </c>
      <c r="F149" s="9">
        <f>(F148)+(E149)</f>
        <v/>
      </c>
      <c r="G149" s="9">
        <f>IF(7=0,-'Inputs_Data'!H5,0)</f>
        <v/>
      </c>
      <c r="H149" s="9">
        <f>IF(AND(7&gt;=1,7&lt;='Scenarios_10'!B14),MAX(0,(MAX(0,'Scenarios_10'!D14-'Scenarios_10'!E14/'Scenarios_10'!B14))-IF(AND(7&gt;('Scenarios_10'!B14-4),7&lt;='Scenarios_10'!B14),'Scenarios_10'!F14,0)),0)</f>
        <v/>
      </c>
      <c r="I149" s="9">
        <f>IF(7=0,'Scenarios_10'!E14,0)</f>
        <v/>
      </c>
      <c r="J149" s="9">
        <f>IF(7=0,0,IF('Scenarios_10'!C14="uniform_pct",'Inputs_Data'!E12*(1-(MIN('Scenarios_10'!G14,'Assumptions'!B10))),IF('Scenarios_10'!C14="electricity_only_pct",('Inputs_Data'!C12*(1-(MIN('Scenarios_10'!G14,'Assumptions'!B10))))+'Inputs_Data'!D12,0+('Inputs_Data'!D12*(1-AVERAGE('Assumptions'!B6,'Assumptions'!B7,'Assumptions'!B8,'Assumptions'!B9))))))</f>
        <v/>
      </c>
      <c r="K149" s="9">
        <f>(IF(7=0,-'Inputs_Data'!H5,0))+(IF(AND(7&gt;=1,7&lt;='Scenarios_10'!B14),MAX(0,(MAX(0,'Scenarios_10'!D14-'Scenarios_10'!E14/'Scenarios_10'!B14))-IF(AND(7&gt;('Scenarios_10'!B14-4),7&lt;='Scenarios_10'!B14),'Scenarios_10'!F14,0)),0))+(IF(7=0,'Scenarios_10'!E14,0))-(IF(7=0,0,IF('Scenarios_10'!C14="uniform_pct",'Inputs_Data'!E12*(1-(MIN('Scenarios_10'!G14,'Assumptions'!B10))),IF('Scenarios_10'!C14="electricity_only_pct",('Inputs_Data'!C12*(1-(MIN('Scenarios_10'!G14,'Assumptions'!B10))))+'Inputs_Data'!D12,0+('Inputs_Data'!D12*(1-AVERAGE('Assumptions'!B6,'Assumptions'!B7,'Assumptions'!B8,'Assumptions'!B9)))))))</f>
        <v/>
      </c>
      <c r="L149" s="9">
        <f>(L148)+(K149)</f>
        <v/>
      </c>
    </row>
    <row r="150">
      <c r="A150" s="5" t="n">
        <v>8</v>
      </c>
      <c r="B150" s="9">
        <f>IF(8=0,-'Inputs_Data'!H5,0)</f>
        <v/>
      </c>
      <c r="C150" s="9">
        <f>IF(8=0,0,'Inputs_Data'!B13)</f>
        <v/>
      </c>
      <c r="D150" s="9">
        <f>IF(8=0,0,'Inputs_Data'!E13)</f>
        <v/>
      </c>
      <c r="E150" s="9">
        <f>(IF(8=0,-'Inputs_Data'!H5,0))+(IF(8=0,0,'Inputs_Data'!B13))-(IF(8=0,0,'Inputs_Data'!E13))</f>
        <v/>
      </c>
      <c r="F150" s="9">
        <f>(F149)+(E150)</f>
        <v/>
      </c>
      <c r="G150" s="9">
        <f>IF(8=0,-'Inputs_Data'!H5,0)</f>
        <v/>
      </c>
      <c r="H150" s="9">
        <f>IF(AND(8&gt;=1,8&lt;='Scenarios_10'!B14),MAX(0,(MAX(0,'Scenarios_10'!D14-'Scenarios_10'!E14/'Scenarios_10'!B14))-IF(AND(8&gt;('Scenarios_10'!B14-4),8&lt;='Scenarios_10'!B14),'Scenarios_10'!F14,0)),0)</f>
        <v/>
      </c>
      <c r="I150" s="9">
        <f>IF(8=0,'Scenarios_10'!E14,0)</f>
        <v/>
      </c>
      <c r="J150" s="9">
        <f>IF(8=0,0,IF('Scenarios_10'!C14="uniform_pct",'Inputs_Data'!E13*(1-(MIN('Scenarios_10'!G14,'Assumptions'!B10))),IF('Scenarios_10'!C14="electricity_only_pct",('Inputs_Data'!C13*(1-(MIN('Scenarios_10'!G14,'Assumptions'!B10))))+'Inputs_Data'!D13,0+('Inputs_Data'!D13*(1-AVERAGE('Assumptions'!B6,'Assumptions'!B7,'Assumptions'!B8,'Assumptions'!B9))))))</f>
        <v/>
      </c>
      <c r="K150" s="9">
        <f>(IF(8=0,-'Inputs_Data'!H5,0))+(IF(AND(8&gt;=1,8&lt;='Scenarios_10'!B14),MAX(0,(MAX(0,'Scenarios_10'!D14-'Scenarios_10'!E14/'Scenarios_10'!B14))-IF(AND(8&gt;('Scenarios_10'!B14-4),8&lt;='Scenarios_10'!B14),'Scenarios_10'!F14,0)),0))+(IF(8=0,'Scenarios_10'!E14,0))-(IF(8=0,0,IF('Scenarios_10'!C14="uniform_pct",'Inputs_Data'!E13*(1-(MIN('Scenarios_10'!G14,'Assumptions'!B10))),IF('Scenarios_10'!C14="electricity_only_pct",('Inputs_Data'!C13*(1-(MIN('Scenarios_10'!G14,'Assumptions'!B10))))+'Inputs_Data'!D13,0+('Inputs_Data'!D13*(1-AVERAGE('Assumptions'!B6,'Assumptions'!B7,'Assumptions'!B8,'Assumptions'!B9)))))))</f>
        <v/>
      </c>
      <c r="L150" s="9">
        <f>(L149)+(K150)</f>
        <v/>
      </c>
    </row>
    <row r="151">
      <c r="A151" s="5" t="n">
        <v>9</v>
      </c>
      <c r="B151" s="9">
        <f>IF(9=0,-'Inputs_Data'!H5,0)</f>
        <v/>
      </c>
      <c r="C151" s="9">
        <f>IF(9=0,0,'Inputs_Data'!B14)</f>
        <v/>
      </c>
      <c r="D151" s="9">
        <f>IF(9=0,0,'Inputs_Data'!E14)</f>
        <v/>
      </c>
      <c r="E151" s="9">
        <f>(IF(9=0,-'Inputs_Data'!H5,0))+(IF(9=0,0,'Inputs_Data'!B14))-(IF(9=0,0,'Inputs_Data'!E14))</f>
        <v/>
      </c>
      <c r="F151" s="9">
        <f>(F150)+(E151)</f>
        <v/>
      </c>
      <c r="G151" s="9">
        <f>IF(9=0,-'Inputs_Data'!H5,0)</f>
        <v/>
      </c>
      <c r="H151" s="9">
        <f>IF(AND(9&gt;=1,9&lt;='Scenarios_10'!B14),MAX(0,(MAX(0,'Scenarios_10'!D14-'Scenarios_10'!E14/'Scenarios_10'!B14))-IF(AND(9&gt;('Scenarios_10'!B14-4),9&lt;='Scenarios_10'!B14),'Scenarios_10'!F14,0)),0)</f>
        <v/>
      </c>
      <c r="I151" s="9">
        <f>IF(9=0,'Scenarios_10'!E14,0)</f>
        <v/>
      </c>
      <c r="J151" s="9">
        <f>IF(9=0,0,IF('Scenarios_10'!C14="uniform_pct",'Inputs_Data'!E14*(1-(MIN('Scenarios_10'!G14,'Assumptions'!B10))),IF('Scenarios_10'!C14="electricity_only_pct",('Inputs_Data'!C14*(1-(MIN('Scenarios_10'!G14,'Assumptions'!B10))))+'Inputs_Data'!D14,0+('Inputs_Data'!D14*(1-AVERAGE('Assumptions'!B6,'Assumptions'!B7,'Assumptions'!B8,'Assumptions'!B9))))))</f>
        <v/>
      </c>
      <c r="K151" s="9">
        <f>(IF(9=0,-'Inputs_Data'!H5,0))+(IF(AND(9&gt;=1,9&lt;='Scenarios_10'!B14),MAX(0,(MAX(0,'Scenarios_10'!D14-'Scenarios_10'!E14/'Scenarios_10'!B14))-IF(AND(9&gt;('Scenarios_10'!B14-4),9&lt;='Scenarios_10'!B14),'Scenarios_10'!F14,0)),0))+(IF(9=0,'Scenarios_10'!E14,0))-(IF(9=0,0,IF('Scenarios_10'!C14="uniform_pct",'Inputs_Data'!E14*(1-(MIN('Scenarios_10'!G14,'Assumptions'!B10))),IF('Scenarios_10'!C14="electricity_only_pct",('Inputs_Data'!C14*(1-(MIN('Scenarios_10'!G14,'Assumptions'!B10))))+'Inputs_Data'!D14,0+('Inputs_Data'!D14*(1-AVERAGE('Assumptions'!B6,'Assumptions'!B7,'Assumptions'!B8,'Assumptions'!B9)))))))</f>
        <v/>
      </c>
      <c r="L151" s="9">
        <f>(L150)+(K151)</f>
        <v/>
      </c>
    </row>
    <row r="152">
      <c r="A152" s="5" t="n">
        <v>10</v>
      </c>
      <c r="B152" s="9">
        <f>IF(10=0,-'Inputs_Data'!H5,0)</f>
        <v/>
      </c>
      <c r="C152" s="9">
        <f>IF(10=0,0,'Inputs_Data'!B15)</f>
        <v/>
      </c>
      <c r="D152" s="9">
        <f>IF(10=0,0,'Inputs_Data'!E15)</f>
        <v/>
      </c>
      <c r="E152" s="9">
        <f>(IF(10=0,-'Inputs_Data'!H5,0))+(IF(10=0,0,'Inputs_Data'!B15))-(IF(10=0,0,'Inputs_Data'!E15))</f>
        <v/>
      </c>
      <c r="F152" s="9">
        <f>(F151)+(E152)</f>
        <v/>
      </c>
      <c r="G152" s="9">
        <f>IF(10=0,-'Inputs_Data'!H5,0)</f>
        <v/>
      </c>
      <c r="H152" s="9">
        <f>IF(AND(10&gt;=1,10&lt;='Scenarios_10'!B14),MAX(0,(MAX(0,'Scenarios_10'!D14-'Scenarios_10'!E14/'Scenarios_10'!B14))-IF(AND(10&gt;('Scenarios_10'!B14-4),10&lt;='Scenarios_10'!B14),'Scenarios_10'!F14,0)),0)</f>
        <v/>
      </c>
      <c r="I152" s="9">
        <f>IF(10=0,'Scenarios_10'!E14,0)</f>
        <v/>
      </c>
      <c r="J152" s="9">
        <f>IF(10=0,0,IF('Scenarios_10'!C14="uniform_pct",'Inputs_Data'!E15*(1-(MIN('Scenarios_10'!G14,'Assumptions'!B10))),IF('Scenarios_10'!C14="electricity_only_pct",('Inputs_Data'!C15*(1-(MIN('Scenarios_10'!G14,'Assumptions'!B10))))+'Inputs_Data'!D15,0+('Inputs_Data'!D15*(1-AVERAGE('Assumptions'!B6,'Assumptions'!B7,'Assumptions'!B8,'Assumptions'!B9))))))</f>
        <v/>
      </c>
      <c r="K152" s="9">
        <f>(IF(10=0,-'Inputs_Data'!H5,0))+(IF(AND(10&gt;=1,10&lt;='Scenarios_10'!B14),MAX(0,(MAX(0,'Scenarios_10'!D14-'Scenarios_10'!E14/'Scenarios_10'!B14))-IF(AND(10&gt;('Scenarios_10'!B14-4),10&lt;='Scenarios_10'!B14),'Scenarios_10'!F14,0)),0))+(IF(10=0,'Scenarios_10'!E14,0))-(IF(10=0,0,IF('Scenarios_10'!C14="uniform_pct",'Inputs_Data'!E15*(1-(MIN('Scenarios_10'!G14,'Assumptions'!B10))),IF('Scenarios_10'!C14="electricity_only_pct",('Inputs_Data'!C15*(1-(MIN('Scenarios_10'!G14,'Assumptions'!B10))))+'Inputs_Data'!D15,0+('Inputs_Data'!D15*(1-AVERAGE('Assumptions'!B6,'Assumptions'!B7,'Assumptions'!B8,'Assumptions'!B9)))))))</f>
        <v/>
      </c>
      <c r="L152" s="9">
        <f>(L151)+(K152)</f>
        <v/>
      </c>
    </row>
  </sheetData>
  <mergeCells count="12">
    <mergeCell ref="A20:L20"/>
    <mergeCell ref="A95:L95"/>
    <mergeCell ref="A2:L2"/>
    <mergeCell ref="A125:L125"/>
    <mergeCell ref="A1:L1"/>
    <mergeCell ref="A5:L5"/>
    <mergeCell ref="A140:L140"/>
    <mergeCell ref="A80:L80"/>
    <mergeCell ref="A110:L110"/>
    <mergeCell ref="A50:L50"/>
    <mergeCell ref="A35:L35"/>
    <mergeCell ref="A65:L6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40" customWidth="1" min="4" max="4"/>
  </cols>
  <sheetData>
    <row r="1">
      <c r="A1" s="1" t="inlineStr">
        <is>
          <t>Generic model | Trust vs LaaS/AI</t>
        </is>
      </c>
    </row>
    <row r="2">
      <c r="A2" s="2" t="inlineStr">
        <is>
          <t>Generated 2026-04-25</t>
        </is>
      </c>
    </row>
    <row r="4">
      <c r="A4" s="3" t="inlineStr">
        <is>
          <t>10 tiers (from Model_Calc)</t>
        </is>
      </c>
    </row>
    <row r="5">
      <c r="A5" s="4" t="inlineStr">
        <is>
          <t>Tier</t>
        </is>
      </c>
      <c r="B5" s="4" t="inlineStr">
        <is>
          <t>ClientPay_Y1</t>
        </is>
      </c>
      <c r="C5" s="4" t="inlineStr">
        <is>
          <t>Savings_Y1</t>
        </is>
      </c>
      <c r="D5" s="4" t="inlineStr">
        <is>
          <t>LaaS_OPEX_Y1</t>
        </is>
      </c>
    </row>
    <row r="6">
      <c r="A6">
        <f>'Model_Calc'!A6</f>
        <v/>
      </c>
      <c r="B6">
        <f>'Model_Calc'!B6</f>
        <v/>
      </c>
      <c r="C6">
        <f>'Model_Calc'!D6</f>
        <v/>
      </c>
      <c r="D6">
        <f>'Model_Calc'!E6</f>
        <v/>
      </c>
    </row>
    <row r="7">
      <c r="A7">
        <f>'Model_Calc'!A7</f>
        <v/>
      </c>
      <c r="B7">
        <f>'Model_Calc'!B7</f>
        <v/>
      </c>
      <c r="C7">
        <f>'Model_Calc'!D7</f>
        <v/>
      </c>
      <c r="D7">
        <f>'Model_Calc'!E7</f>
        <v/>
      </c>
    </row>
    <row r="8">
      <c r="A8">
        <f>'Model_Calc'!A8</f>
        <v/>
      </c>
      <c r="B8">
        <f>'Model_Calc'!B8</f>
        <v/>
      </c>
      <c r="C8">
        <f>'Model_Calc'!D8</f>
        <v/>
      </c>
      <c r="D8">
        <f>'Model_Calc'!E8</f>
        <v/>
      </c>
    </row>
    <row r="9">
      <c r="A9">
        <f>'Model_Calc'!A9</f>
        <v/>
      </c>
      <c r="B9">
        <f>'Model_Calc'!B9</f>
        <v/>
      </c>
      <c r="C9">
        <f>'Model_Calc'!D9</f>
        <v/>
      </c>
      <c r="D9">
        <f>'Model_Calc'!E9</f>
        <v/>
      </c>
    </row>
    <row r="10">
      <c r="A10">
        <f>'Model_Calc'!A10</f>
        <v/>
      </c>
      <c r="B10">
        <f>'Model_Calc'!B10</f>
        <v/>
      </c>
      <c r="C10">
        <f>'Model_Calc'!D10</f>
        <v/>
      </c>
      <c r="D10">
        <f>'Model_Calc'!E10</f>
        <v/>
      </c>
    </row>
    <row r="11">
      <c r="A11">
        <f>'Model_Calc'!A11</f>
        <v/>
      </c>
      <c r="B11">
        <f>'Model_Calc'!B11</f>
        <v/>
      </c>
      <c r="C11">
        <f>'Model_Calc'!D11</f>
        <v/>
      </c>
      <c r="D11">
        <f>'Model_Calc'!E11</f>
        <v/>
      </c>
    </row>
    <row r="12">
      <c r="A12">
        <f>'Model_Calc'!A12</f>
        <v/>
      </c>
      <c r="B12">
        <f>'Model_Calc'!B12</f>
        <v/>
      </c>
      <c r="C12">
        <f>'Model_Calc'!D12</f>
        <v/>
      </c>
      <c r="D12">
        <f>'Model_Calc'!E12</f>
        <v/>
      </c>
    </row>
    <row r="13">
      <c r="A13">
        <f>'Model_Calc'!A13</f>
        <v/>
      </c>
      <c r="B13">
        <f>'Model_Calc'!B13</f>
        <v/>
      </c>
      <c r="C13">
        <f>'Model_Calc'!D13</f>
        <v/>
      </c>
      <c r="D13">
        <f>'Model_Calc'!E13</f>
        <v/>
      </c>
    </row>
    <row r="14">
      <c r="A14">
        <f>'Model_Calc'!A14</f>
        <v/>
      </c>
      <c r="B14">
        <f>'Model_Calc'!B14</f>
        <v/>
      </c>
      <c r="C14">
        <f>'Model_Calc'!D14</f>
        <v/>
      </c>
      <c r="D14">
        <f>'Model_Calc'!E14</f>
        <v/>
      </c>
    </row>
    <row r="15">
      <c r="A15">
        <f>'Model_Calc'!A15</f>
        <v/>
      </c>
      <c r="B15">
        <f>'Model_Calc'!B15</f>
        <v/>
      </c>
      <c r="C15">
        <f>'Model_Calc'!D15</f>
        <v/>
      </c>
      <c r="D15">
        <f>'Model_Calc'!E15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>Inputs | Trust vs LaaS/AI</t>
        </is>
      </c>
    </row>
    <row r="2">
      <c r="A2" s="2" t="inlineStr">
        <is>
          <t>Editable inputs (blue).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Baseline | No retrofit</t>
        </is>
      </c>
    </row>
    <row r="2">
      <c r="A2" s="2" t="inlineStr">
        <is>
          <t>All savings relative to this baseline.</t>
        </is>
      </c>
    </row>
    <row r="5">
      <c r="A5" t="inlineStr">
        <is>
          <t>Baseline electricity (Y1)</t>
        </is>
      </c>
      <c r="B5">
        <f>'Inputs_Data'!C6</f>
        <v/>
      </c>
    </row>
    <row r="6">
      <c r="A6" t="inlineStr">
        <is>
          <t>Baseline cash OPEX (Y1)</t>
        </is>
      </c>
      <c r="B6">
        <f>'Inputs_Data'!E6</f>
        <v/>
      </c>
    </row>
  </sheetData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 params</t>
        </is>
      </c>
    </row>
    <row r="2">
      <c r="A2" s="2" t="inlineStr">
        <is>
          <t>(placeholder; see WPS export for full layout)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Annual model</t>
        </is>
      </c>
    </row>
    <row r="2">
      <c r="A2" s="2" t="inlineStr">
        <is>
          <t>(placeholder)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Sensitivity</t>
        </is>
      </c>
    </row>
    <row r="2">
      <c r="A2" s="2" t="inlineStr">
        <is>
          <t>(placeholder)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Model checks</t>
        </is>
      </c>
    </row>
    <row r="2">
      <c r="A2" s="2" t="inlineStr">
        <is>
          <t>(placeholder)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Calc logic</t>
        </is>
      </c>
    </row>
    <row r="2">
      <c r="A2" s="2" t="inlineStr">
        <is>
          <t>(placeholder)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Glossary</t>
        </is>
      </c>
    </row>
    <row r="2">
      <c r="A2" s="2" t="inlineStr">
        <is>
          <t>(placeholder)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6" customWidth="1" min="3" max="3"/>
    <col width="22" customWidth="1" min="4" max="4"/>
    <col width="52" customWidth="1" min="5" max="5"/>
  </cols>
  <sheetData>
    <row r="1">
      <c r="A1" s="1" t="inlineStr">
        <is>
          <t>Story_and_Sources</t>
        </is>
      </c>
    </row>
    <row r="2">
      <c r="A2" s="2" t="inlineStr">
        <is>
          <t>Each assumption is mapped to a model lever and backed by a public source link.</t>
        </is>
      </c>
    </row>
    <row r="4">
      <c r="A4" s="6" t="inlineStr">
        <is>
          <t>Benchmarks and how they map into the model</t>
        </is>
      </c>
    </row>
    <row r="5">
      <c r="A5" s="4" t="inlineStr">
        <is>
          <t>Driver</t>
        </is>
      </c>
      <c r="B5" s="4" t="inlineStr">
        <is>
          <t>Metric (benchmark)</t>
        </is>
      </c>
      <c r="C5" s="4" t="inlineStr">
        <is>
          <t>How used in model</t>
        </is>
      </c>
      <c r="D5" s="4" t="inlineStr">
        <is>
          <t>Assumption cell</t>
        </is>
      </c>
      <c r="E5" s="4" t="inlineStr">
        <is>
          <t>Source (URL)</t>
        </is>
      </c>
    </row>
    <row r="6">
      <c r="A6" s="5" t="inlineStr">
        <is>
          <t>Predictive maintenance / remote diagnostics</t>
        </is>
      </c>
      <c r="B6" s="5" t="inlineStr">
        <is>
          <t>Avoided patrols / optimized repairs (qualitative + routing savings)</t>
        </is>
      </c>
      <c r="C6" s="5" t="inlineStr">
        <is>
          <t>Maps to reductions in staff / vehicles / materials OPEX (line-item factors)</t>
        </is>
      </c>
      <c r="D6" s="5" t="inlineStr">
        <is>
          <t>Assumptions!B8:B12</t>
        </is>
      </c>
      <c r="E6" s="13" t="inlineStr">
        <is>
          <t>https://oxmaint.com/industries/government/street-lighting-lamp-out-ai-detection</t>
        </is>
      </c>
    </row>
    <row r="7">
      <c r="A7" s="5" t="inlineStr">
        <is>
          <t>Adaptive controls / dimming</t>
        </is>
      </c>
      <c r="B7" s="5" t="inlineStr">
        <is>
          <t>Energy savings can be large depending on baseline and dimming strategy (literature)</t>
        </is>
      </c>
      <c r="C7" s="5" t="inlineStr">
        <is>
          <t>Maps to electricity OPEX reduction factor (electricity_only_pct mode)</t>
        </is>
      </c>
      <c r="D7" s="5" t="inlineStr">
        <is>
          <t>Assumptions!B6</t>
        </is>
      </c>
      <c r="E7" s="13" t="inlineStr">
        <is>
          <t>https://mdpi-res.com/d_attachment/smartcities/smartcities-03-00071/article_deploy/smartcities-03-00071-v2.pdf?version=1607517901</t>
        </is>
      </c>
    </row>
    <row r="8">
      <c r="A8" s="5" t="inlineStr">
        <is>
          <t>City case study</t>
        </is>
      </c>
      <c r="B8" s="5" t="inlineStr">
        <is>
          <t>Energy costs cut by 61% (case; not universal)</t>
        </is>
      </c>
      <c r="C8" s="5" t="inlineStr">
        <is>
          <t>Used as an upper-bound sense check; model uses conservative default</t>
        </is>
      </c>
      <c r="D8" s="5" t="inlineStr">
        <is>
          <t>Assumptions!B6</t>
        </is>
      </c>
      <c r="E8" s="13" t="inlineStr">
        <is>
          <t>https://insights.acuitybrands.com/casestudies/city-of-west-richland-case-study</t>
        </is>
      </c>
    </row>
    <row r="9">
      <c r="A9" s="5" t="inlineStr">
        <is>
          <t>Utility case study</t>
        </is>
      </c>
      <c r="B9" s="5" t="inlineStr">
        <is>
          <t>Avoided truck rolls (evidence of O&amp;M reduction potential)</t>
        </is>
      </c>
      <c r="C9" s="5" t="inlineStr">
        <is>
          <t>Supports reductions in vehicles / staff OPEX lines (dispatch, truck rolls)</t>
        </is>
      </c>
      <c r="D9" s="5" t="inlineStr">
        <is>
          <t>Assumptions!B9:B11</t>
        </is>
      </c>
      <c r="E9" s="13" t="inlineStr">
        <is>
          <t>https://lam.itron.com/documents/d/asset-library-120736/itron-tampa-electric-case-study-1</t>
        </is>
      </c>
    </row>
    <row r="10">
      <c r="A10" s="5" t="inlineStr">
        <is>
          <t>Solarization (street lights)</t>
        </is>
      </c>
      <c r="B10" s="5" t="inlineStr">
        <is>
          <t>System-level feasibility context (LCC / solarization programs)</t>
        </is>
      </c>
      <c r="C10" s="5" t="inlineStr">
        <is>
          <t>Used only to justify the AI+solar tier narrative; electricity=0 is a contract/engineering assumption</t>
        </is>
      </c>
      <c r="D10" s="5" t="inlineStr">
        <is>
          <t>Assumptions!B6 (ai_plus_solar tier)</t>
        </is>
      </c>
      <c r="E10" s="13" t="inlineStr">
        <is>
          <t>https://www.saarcenergy.org/wp-content/uploads/2022/08/Draft-report-of-EE-Solarisation-of-Street-Lighting_Rev4_04.07.2022_No-Markup.pdf</t>
        </is>
      </c>
    </row>
  </sheetData>
  <mergeCells count="3">
    <mergeCell ref="A2:L2"/>
    <mergeCell ref="A1:L1"/>
    <mergeCell ref="A4:L4"/>
  </mergeCells>
  <hyperlinks>
    <hyperlink xmlns:r="http://schemas.openxmlformats.org/officeDocument/2006/relationships" ref="E6" r:id="rId1"/>
    <hyperlink xmlns:r="http://schemas.openxmlformats.org/officeDocument/2006/relationships" ref="E7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2026-04-25T04:39:06Z</dcterms:created>
  <dcterms:modified xsi:type="dcterms:W3CDTF">2026-04-25T04:39:06Z</dcterms:modified>
</cp:coreProperties>
</file>