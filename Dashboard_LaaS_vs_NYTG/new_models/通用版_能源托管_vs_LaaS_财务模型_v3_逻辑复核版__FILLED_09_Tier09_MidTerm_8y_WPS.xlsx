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3070192.734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2118433.446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2342120.554</s:v>
      </s:c>
      <s:c r="E18" s="173">
        <s:f>C18-D18</s:f>
        <s:v>1028182.446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388430.446</s:v>
      </s:c>
      <s:c r="E19" s="173">
        <s:f>D19-C19</s:f>
        <s:v>1028182.446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76250.0</s:v>
      </s:c>
      <s:c r="E21" s="173">
        <s:f>C21-D21</s:f>
        <s:v>533747.0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26997.984704423317</s:v>
      </s:c>
      <s:c r="E22" s="173">
        <s:f>C22-D22</s:f>
        <s:v>367238.8992797306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34476.41070690368</s:v>
      </s:c>
      <s:c r="E23" s="173">
        <s:f>C23-D23</s:f>
        <s:v>127343.67630498087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2263750.0</s:v>
      </s:c>
      <s:c r="E24" s="173">
        <s:f>D24-C24</s:f>
        <s:v>531447.0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3355535.0649350644</s:v>
      </s:c>
      <s:c r="E25" s="173">
        <s:f>C25-D25</s:f>
        <s:v>-183864.9350649356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10319024.0</s:v>
      </s:c>
      <s:c r="D26" s="173">
        <s:f>'05_Annual_Model'!M51</s:f>
        <s:v>14570600.0</s:v>
      </s:c>
      <s:c r="E26" s="173">
        <s:f>D26-C26</s:f>
        <s:v>4251576.0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6098712.143535441</s:v>
      </s:c>
      <s:c r="D27" s="173">
        <s:f>'05_Annual_Model'!C52</s:f>
        <s:v>8484739.173592364</s:v>
      </s:c>
      <s:c r="E27" s="173">
        <s:f>D27-C27</s:f>
        <s:v>2386027.0300569236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0.46656290049507354</s:v>
      </s:c>
      <s:c r="D28" s="171">
        <s:f>'05_Annual_Model'!C53</s:f>
        <s:v>1.0151891575011587</s:v>
      </s:c>
      <s:c r="E28" s="171">
        <s:f>D28-C28</s:f>
        <s:v>0.5486262570060851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10319024.0</s:v>
      </s:c>
      <s:c r="D18" s="173">
        <s:f>'05_Annual_Model'!M51</s:f>
        <s:v>14570600.0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6098712.143535441</s:v>
      </s:c>
      <s:c r="D19" s="173">
        <s:f>'05_Annual_Model'!C52</s:f>
        <s:v>8484739.173592364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0.46656290049507354</s:v>
      </s:c>
      <s:c r="D20" s="176">
        <s:f>'05_Annual_Model'!C53</s:f>
        <s:v>1.0151891575011587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3.9154726789851386</s:v>
      </s:c>
      <s:c r="D21" s="171">
        <s:f>'05_Annual_Model'!C54</s:f>
        <s:v>6.342068855110286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8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734.5742261241385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5.910241835469202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34476.41070690368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14775.604588673006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500000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Tier09_MidTerm_8y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19.04454319966928</s:v>
      </s:c>
      <s:c r="E52" s="186" t="n">
        <s:v>111093.1686647375</s:v>
      </s:c>
      <s:c r="F52" s="186" t="n">
        <s:v>47611.35799917322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18.45351901612237</s:v>
      </s:c>
      <s:c r="E53" s="186" t="n">
        <s:v>107645.5275940471</s:v>
      </s:c>
      <s:c r="F53" s="186" t="n">
        <s:v>46133.79754030592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5.910241835469202</s:v>
      </s:c>
      <s:c r="E54" s="186" t="n">
        <s:v>34476.41070690368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10319024.0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6098712.143535441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0.46656290049507354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3.9154726789851386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2277500.0</s:v>
      </s:c>
      <s:c r="E40" s="193">
        <s:f>MAX(0,('04_Mode_Params'!$D$6*(1+'02_Inputs'!$D$16)^(2-1))-('02_Inputs'!$D$45/'02_Inputs'!$D$5))</s:f>
        <s:v>2277500.0</s:v>
      </s:c>
      <s:c r="F40" s="193">
        <s:f>MAX(0,('04_Mode_Params'!$D$6*(1+'02_Inputs'!$D$16)^(3-1))-('02_Inputs'!$D$45/'02_Inputs'!$D$5))</s:f>
        <s:v>2277500.0</s:v>
      </s:c>
      <s:c r="G40" s="193">
        <s:f>MAX(0,('04_Mode_Params'!$D$6*(1+'02_Inputs'!$D$16)^(4-1))-('02_Inputs'!$D$45/'02_Inputs'!$D$5))</s:f>
        <s:v>2277500.0</s:v>
      </s:c>
      <s:c r="H40" s="193">
        <s:f>MAX(0,('04_Mode_Params'!$D$6*(1+'02_Inputs'!$D$16)^(5-1))-('02_Inputs'!$D$45/'02_Inputs'!$D$5))</s:f>
        <s:v>2277500.0</s:v>
      </s:c>
      <s:c r="I40" s="193">
        <s:f>MAX(0,('04_Mode_Params'!$D$6*(1+'02_Inputs'!$D$16)^(6-1))-('02_Inputs'!$D$45/'02_Inputs'!$D$5))</s:f>
        <s:v>2277500.0</s:v>
      </s:c>
      <s:c r="J40" s="193">
        <s:f>MAX(0,MAX((('04_Mode_Params'!$D$6*(1+'02_Inputs'!$D$16)^(7-1))*0.2),('04_Mode_Params'!$D$6*(1+'02_Inputs'!$D$16)^(7-1))-'02_Inputs'!$D$46)-('02_Inputs'!$D$45/'02_Inputs'!$D$5))</s:f>
        <s:v>2277500.0</s:v>
      </s:c>
      <s:c r="K40" s="193">
        <s:f>MAX(0,MAX((('04_Mode_Params'!$D$6*(1+'02_Inputs'!$D$16)^(8-1))*0.2),('04_Mode_Params'!$D$6*(1+'02_Inputs'!$D$16)^(8-1))-'02_Inputs'!$D$46)-('02_Inputs'!$D$45/'02_Inputs'!$D$5))</s:f>
        <s:v>2277500.0</s:v>
      </s:c>
      <s:c r="L40" s="193">
        <s:f>MAX(0,MAX((('04_Mode_Params'!$D$6*(1+'02_Inputs'!$D$16)^(9-1))*0.2),('04_Mode_Params'!$D$6*(1+'02_Inputs'!$D$16)^(9-1))-'02_Inputs'!$D$46)-('02_Inputs'!$D$45/'02_Inputs'!$D$5))</s:f>
        <s:v>0.0</s:v>
      </s:c>
      <s:c r="M40" s="193">
        <s:f>MAX(0,MAX((('04_Mode_Params'!$D$6*(1+'02_Inputs'!$D$16)^(10-1))*0.2),('04_Mode_Params'!$D$6*(1+'02_Inputs'!$D$16)^(10-1))-'02_Inputs'!$D$46)-('02_Inputs'!$D$45/'02_Inputs'!$D$5))</s:f>
        <s:v>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14570600.0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8484739.173592364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1.0151891575011587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6.342068855110286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2120.554000000002</s:v>
      </s:c>
      <s:c r="E58" s="193">
        <s:f>E43*(1-'04_Mode_Params'!$D$10)</s:f>
        <s:v>2120.554000000002</s:v>
      </s:c>
      <s:c r="F58" s="193">
        <s:f>F43*(1-'04_Mode_Params'!$D$10)</s:f>
        <s:v>2120.554000000002</s:v>
      </s:c>
      <s:c r="G58" s="193">
        <s:f>G43*(1-'04_Mode_Params'!$D$10)</s:f>
        <s:v>2120.554000000002</s:v>
      </s:c>
      <s:c r="H58" s="193">
        <s:f>H43*(1-'04_Mode_Params'!$D$10)</s:f>
        <s:v>2120.554000000002</s:v>
      </s:c>
      <s:c r="I58" s="193">
        <s:f>I43*(1-'04_Mode_Params'!$D$10)</s:f>
        <s:v>2120.554000000002</s:v>
      </s:c>
      <s:c r="J58" s="193">
        <s:f>J43*(1-'04_Mode_Params'!$D$10)</s:f>
        <s:v>2120.554000000002</s:v>
      </s:c>
      <s:c r="K58" s="193">
        <s:f>K43*(1-'04_Mode_Params'!$D$10)</s:f>
        <s:v>2120.554000000002</s:v>
      </s:c>
      <s:c r="L58" s="193">
        <s:f>L43*(1-'04_Mode_Params'!$D$10)</s:f>
        <s:v>2120.554000000002</s:v>
      </s:c>
      <s:c r="M58" s="193">
        <s:f>M43*(1-'04_Mode_Params'!$D$10)</s:f>
        <s:v>2120.554000000002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2277500.0</s:v>
      </s:c>
      <s:c r="E59" s="193">
        <s:f>E40</s:f>
        <s:v>2277500.0</s:v>
      </s:c>
      <s:c r="F59" s="193">
        <s:f>F40</s:f>
        <s:v>2277500.0</s:v>
      </s:c>
      <s:c r="G59" s="193">
        <s:f>G40</s:f>
        <s:v>2277500.0</s:v>
      </s:c>
      <s:c r="H59" s="193">
        <s:f>H40</s:f>
        <s:v>2277500.0</s:v>
      </s:c>
      <s:c r="I59" s="193">
        <s:f>I40</s:f>
        <s:v>2277500.0</s:v>
      </s:c>
      <s:c r="J59" s="193">
        <s:f>J40</s:f>
        <s:v>2277500.0</s:v>
      </s:c>
      <s:c r="K59" s="193">
        <s:f>K40</s:f>
        <s:v>2277500.0</s:v>
      </s:c>
      <s:c r="L59" s="193">
        <s:f>L40</s:f>
        <s:v>0.0</s:v>
      </s:c>
      <s:c r="M59" s="193">
        <s:f>M40</s:f>
        <s:v>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2279620.554</s:v>
      </s:c>
      <s:c r="E61" s="195">
        <s:f>E58+E59+E60</s:f>
        <s:v>2279620.554</s:v>
      </s:c>
      <s:c r="F61" s="195">
        <s:f>F58+F59+F60</s:f>
        <s:v>2279620.554</s:v>
      </s:c>
      <s:c r="G61" s="195">
        <s:f>G58+G59+G60</s:f>
        <s:v>2279620.554</s:v>
      </s:c>
      <s:c r="H61" s="195">
        <s:f>H58+H59+H60</s:f>
        <s:v>2279620.554</s:v>
      </s:c>
      <s:c r="I61" s="195">
        <s:f>I58+I59+I60</s:f>
        <s:v>2279620.554</s:v>
      </s:c>
      <s:c r="J61" s="195">
        <s:f>J58+J59+J60</s:f>
        <s:v>2279620.554</s:v>
      </s:c>
      <s:c r="K61" s="195">
        <s:f>K58+K59+K60</s:f>
        <s:v>2279620.554</s:v>
      </s:c>
      <s:c r="L61" s="195">
        <s:f>L58+L59+L60</s:f>
        <s:v>2120.554000000002</s:v>
      </s:c>
      <s:c r="M61" s="195">
        <s:f>M58+M59+M60</s:f>
        <s:v>2120.554000000002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450930.446</s:v>
      </s:c>
      <s:c r="E62" s="195">
        <s:f>E8-E61</s:f>
        <s:v>450930.446</s:v>
      </s:c>
      <s:c r="F62" s="195">
        <s:f>F8-F61</s:f>
        <s:v>450930.446</s:v>
      </s:c>
      <s:c r="G62" s="195">
        <s:f>G8-G61</s:f>
        <s:v>450930.446</s:v>
      </s:c>
      <s:c r="H62" s="195">
        <s:f>H8-H61</s:f>
        <s:v>450930.446</s:v>
      </s:c>
      <s:c r="I62" s="195">
        <s:f>I8-I61</s:f>
        <s:v>450930.446</s:v>
      </s:c>
      <s:c r="J62" s="195">
        <s:f>J8-J61</s:f>
        <s:v>450930.446</s:v>
      </s:c>
      <s:c r="K62" s="195">
        <s:f>K8-K61</s:f>
        <s:v>450930.446</s:v>
      </s:c>
      <s:c r="L62" s="195">
        <s:f>L8-L61</s:f>
        <s:v>2728430.446</s:v>
      </s:c>
      <s:c r="M62" s="195">
        <s:f>M8-M61</s:f>
        <s:v>2728430.446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-819281.3999999999</s:v>
      </s:c>
      <s:c r="C19" s="170">
        <s:f>'03_Baseline'!$D$15-('03_Baseline'!$D$12*(1-0.45)*(1-'04_Mode_Params'!$D$10)+'04_Mode_Params'!$D$6+'02_Inputs'!$D$17)</s:f>
        <s:v>-713253.7000000002</s:v>
      </s:c>
      <s:c r="D19" s="170">
        <s:f>'03_Baseline'!$D$15-('03_Baseline'!$D$12*(1-0.5)*(1-'04_Mode_Params'!$D$10)+'04_Mode_Params'!$D$6+'02_Inputs'!$D$17)</s:f>
        <s:v>-574952.0</s:v>
      </s:c>
      <s:c r="E19" s="170">
        <s:f>'03_Baseline'!$D$15-('03_Baseline'!$D$12*(1-0.55)*(1-'04_Mode_Params'!$D$10)+'04_Mode_Params'!$D$6+'02_Inputs'!$D$17)</s:f>
        <s:v>-501198.2999999998</s:v>
      </s:c>
      <s:c r="F19" s="170">
        <s:f>'03_Baseline'!$D$15-('03_Baseline'!$D$12*(1-0.6)*(1-'04_Mode_Params'!$D$10)+'04_Mode_Params'!$D$6+'02_Inputs'!$D$17)</s:f>
        <s:v>-395170.6000000001</s:v>
      </s:c>
      <s:c r="G19" s="170">
        <s:f>'03_Baseline'!$D$15-('03_Baseline'!$D$12*(1-0.65)*(1-'04_Mode_Params'!$D$10)+'04_Mode_Params'!$D$6+'02_Inputs'!$D$17)</s:f>
        <s:v>-289142.8999999999</s:v>
      </s:c>
      <s:c r="H19" s="170">
        <s:f>'03_Baseline'!$D$15-('03_Baseline'!$D$12*(1-0.7)*(1-'04_Mode_Params'!$D$10)+'04_Mode_Params'!$D$6+'02_Inputs'!$D$17)</s:f>
        <s:v>-183115.2000000002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2026-04-27T04:47:18Z</dcterms:created>
  <dcterms:modified xsi:type="dcterms:W3CDTF">2026-04-27T04:47:18Z</dcterms:modified>
</cp:coreProperties>
</file>