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0.999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4107888.0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2053944.0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4676600.0</s:v>
      </s:c>
      <s:c r="D18" s="173">
        <s:f>'05_Annual_Model'!M51</s:f>
        <s:v>14650600.000000017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2174577.9654084174</s:v>
      </s:c>
      <s:c r="D19" s="173">
        <s:f>'05_Annual_Model'!C52</s:f>
        <s:v>8537091.878526349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0.2373562320945759</s:v>
      </s:c>
      <s:c r="D20" s="176">
        <s:f>'05_Annual_Model'!C53</s:f>
        <s:v>1.0215562325107141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2.321297395038707</s:v>
      </s:c>
      <s:c r="D21" s="171">
        <s:f>'05_Annual_Model'!C54</s:f>
        <s:v>6.37008462034545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8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671.1070129870129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0.999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5.718750000000001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33359.37500000001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14296.875000000002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500000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Tier09_MidTerm_8y</s:t>
        </s:is>
      </s:c>
    </s:row>
    <s:row r="48">
      <s:c r="A48" t="inlineStr">
        <s:is>
          <s:t>产品类型(product_key)</s:t>
        </s:is>
      </s:c>
      <s:c r="D48" t="inlineStr">
        <s:is>
          <s:t>AI_plus_solar_offgrid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18.4275</s:v>
      </s:c>
      <s:c r="E52" s="186" t="n">
        <s:v>107493.75</s:v>
      </s:c>
      <s:c r="F52" s="186" t="n">
        <s:v>46068.75000000001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17.855625</s:v>
      </s:c>
      <s:c r="E53" s="186" t="n">
        <s:v>104157.8125</s:v>
      </s:c>
      <s:c r="F53" s="186" t="n">
        <s:v>44639.06250000001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5.718750000000001</s:v>
      </s:c>
      <s:c r="E54" s="186" t="n">
        <s:v>33359.37500000001</s:v>
      </s:c>
      <s:c r="F54" s="186" t="n">
        <s:v>14296.875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4676600.0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2174577.9654084174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0.2373562320945759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2.321297395038707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2287500.0</s:v>
      </s:c>
      <s:c r="E40" s="193">
        <s:f>MAX(0,('04_Mode_Params'!$D$6*(1+'02_Inputs'!$D$16)^(2-1))-('02_Inputs'!$D$45/'02_Inputs'!$D$5))</s:f>
        <s:v>2287500.0</s:v>
      </s:c>
      <s:c r="F40" s="193">
        <s:f>MAX(0,('04_Mode_Params'!$D$6*(1+'02_Inputs'!$D$16)^(3-1))-('02_Inputs'!$D$45/'02_Inputs'!$D$5))</s:f>
        <s:v>2287500.0</s:v>
      </s:c>
      <s:c r="G40" s="193">
        <s:f>MAX(0,('04_Mode_Params'!$D$6*(1+'02_Inputs'!$D$16)^(4-1))-('02_Inputs'!$D$45/'02_Inputs'!$D$5))</s:f>
        <s:v>2287500.0</s:v>
      </s:c>
      <s:c r="H40" s="193">
        <s:f>MAX(0,('04_Mode_Params'!$D$6*(1+'02_Inputs'!$D$16)^(5-1))-('02_Inputs'!$D$45/'02_Inputs'!$D$5))</s:f>
        <s:v>2287500.0</s:v>
      </s:c>
      <s:c r="I40" s="193">
        <s:f>MAX(0,('04_Mode_Params'!$D$6*(1+'02_Inputs'!$D$16)^(6-1))-('02_Inputs'!$D$45/'02_Inputs'!$D$5))</s:f>
        <s:v>2287500.0</s:v>
      </s:c>
      <s:c r="J40" s="193">
        <s:f>MAX(0,MAX((('04_Mode_Params'!$D$6*(1+'02_Inputs'!$D$16)^(7-1))*0.2),('04_Mode_Params'!$D$6*(1+'02_Inputs'!$D$16)^(7-1))-'02_Inputs'!$D$46)-('02_Inputs'!$D$45/'02_Inputs'!$D$5))</s:f>
        <s:v>2287500.0</s:v>
      </s:c>
      <s:c r="K40" s="193">
        <s:f>MAX(0,MAX((('04_Mode_Params'!$D$6*(1+'02_Inputs'!$D$16)^(8-1))*0.2),('04_Mode_Params'!$D$6*(1+'02_Inputs'!$D$16)^(8-1))-'02_Inputs'!$D$46)-('02_Inputs'!$D$45/'02_Inputs'!$D$5))</s:f>
        <s:v>2287500.0</s:v>
      </s:c>
      <s:c r="L40" s="193">
        <s:f>MAX(0,MAX((('04_Mode_Params'!$D$6*(1+'02_Inputs'!$D$16)^(9-1))*0.2),('04_Mode_Params'!$D$6*(1+'02_Inputs'!$D$16)^(9-1))-'02_Inputs'!$D$46)-('02_Inputs'!$D$45/'02_Inputs'!$D$5))</s:f>
        <s:v>0.0</s:v>
      </s:c>
      <s:c r="M40" s="193">
        <s:f>MAX(0,MAX((('04_Mode_Params'!$D$6*(1+'02_Inputs'!$D$16)^(10-1))*0.2),('04_Mode_Params'!$D$6*(1+'02_Inputs'!$D$16)^(10-1))-'02_Inputs'!$D$46)-('02_Inputs'!$D$45/'02_Inputs'!$D$5))</s:f>
        <s:v>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14650600.000000017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8537091.878526349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1.0215562325107141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6.37008462034545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2056.000000000002</s:v>
      </s:c>
      <s:c r="E58" s="193">
        <s:f>E43*(1-'04_Mode_Params'!$D$10)</s:f>
        <s:v>2056.000000000002</s:v>
      </s:c>
      <s:c r="F58" s="193">
        <s:f>F43*(1-'04_Mode_Params'!$D$10)</s:f>
        <s:v>2056.000000000002</s:v>
      </s:c>
      <s:c r="G58" s="193">
        <s:f>G43*(1-'04_Mode_Params'!$D$10)</s:f>
        <s:v>2056.000000000002</s:v>
      </s:c>
      <s:c r="H58" s="193">
        <s:f>H43*(1-'04_Mode_Params'!$D$10)</s:f>
        <s:v>2056.000000000002</s:v>
      </s:c>
      <s:c r="I58" s="193">
        <s:f>I43*(1-'04_Mode_Params'!$D$10)</s:f>
        <s:v>2056.000000000002</s:v>
      </s:c>
      <s:c r="J58" s="193">
        <s:f>J43*(1-'04_Mode_Params'!$D$10)</s:f>
        <s:v>2056.000000000002</s:v>
      </s:c>
      <s:c r="K58" s="193">
        <s:f>K43*(1-'04_Mode_Params'!$D$10)</s:f>
        <s:v>2056.000000000002</s:v>
      </s:c>
      <s:c r="L58" s="193">
        <s:f>L43*(1-'04_Mode_Params'!$D$10)</s:f>
        <s:v>2056.000000000002</s:v>
      </s:c>
      <s:c r="M58" s="193">
        <s:f>M43*(1-'04_Mode_Params'!$D$10)</s:f>
        <s:v>2056.000000000002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2287500.0</s:v>
      </s:c>
      <s:c r="E59" s="193">
        <s:f>E40</s:f>
        <s:v>2287500.0</s:v>
      </s:c>
      <s:c r="F59" s="193">
        <s:f>F40</s:f>
        <s:v>2287500.0</s:v>
      </s:c>
      <s:c r="G59" s="193">
        <s:f>G40</s:f>
        <s:v>2287500.0</s:v>
      </s:c>
      <s:c r="H59" s="193">
        <s:f>H40</s:f>
        <s:v>2287500.0</s:v>
      </s:c>
      <s:c r="I59" s="193">
        <s:f>I40</s:f>
        <s:v>2287500.0</s:v>
      </s:c>
      <s:c r="J59" s="193">
        <s:f>J40</s:f>
        <s:v>2287500.0</s:v>
      </s:c>
      <s:c r="K59" s="193">
        <s:f>K40</s:f>
        <s:v>2287500.0</s:v>
      </s:c>
      <s:c r="L59" s="193">
        <s:f>L40</s:f>
        <s:v>0.0</s:v>
      </s:c>
      <s:c r="M59" s="193">
        <s:f>M40</s:f>
        <s:v>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2289556.0</s:v>
      </s:c>
      <s:c r="E61" s="195">
        <s:f>E58+E59+E60</s:f>
        <s:v>2289556.0</s:v>
      </s:c>
      <s:c r="F61" s="195">
        <s:f>F58+F59+F60</s:f>
        <s:v>2289556.0</s:v>
      </s:c>
      <s:c r="G61" s="195">
        <s:f>G58+G59+G60</s:f>
        <s:v>2289556.0</s:v>
      </s:c>
      <s:c r="H61" s="195">
        <s:f>H58+H59+H60</s:f>
        <s:v>2289556.0</s:v>
      </s:c>
      <s:c r="I61" s="195">
        <s:f>I58+I59+I60</s:f>
        <s:v>2289556.0</s:v>
      </s:c>
      <s:c r="J61" s="195">
        <s:f>J58+J59+J60</s:f>
        <s:v>2289556.0</s:v>
      </s:c>
      <s:c r="K61" s="195">
        <s:f>K58+K59+K60</s:f>
        <s:v>2289556.0</s:v>
      </s:c>
      <s:c r="L61" s="195">
        <s:f>L58+L59+L60</s:f>
        <s:v>2056.000000000002</s:v>
      </s:c>
      <s:c r="M61" s="195">
        <s:f>M58+M59+M60</s:f>
        <s:v>2056.000000000002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376444.0</s:v>
      </s:c>
      <s:c r="E62" s="195">
        <s:f>E8-E61</s:f>
        <s:v>376444.0</s:v>
      </s:c>
      <s:c r="F62" s="195">
        <s:f>F8-F61</s:f>
        <s:v>376444.0</s:v>
      </s:c>
      <s:c r="G62" s="195">
        <s:f>G8-G61</s:f>
        <s:v>376444.0</s:v>
      </s:c>
      <s:c r="H62" s="195">
        <s:f>H8-H61</s:f>
        <s:v>376444.0</s:v>
      </s:c>
      <s:c r="I62" s="195">
        <s:f>I8-I61</s:f>
        <s:v>376444.0</s:v>
      </s:c>
      <s:c r="J62" s="195">
        <s:f>J8-J61</s:f>
        <s:v>376444.0</s:v>
      </s:c>
      <s:c r="K62" s="195">
        <s:f>K8-K61</s:f>
        <s:v>376444.0</s:v>
      </s:c>
      <s:c r="L62" s="195">
        <s:f>L8-L61</s:f>
        <s:v>2663944.0</s:v>
      </s:c>
      <s:c r="M62" s="195">
        <s:f>M8-M61</s:f>
        <s:v>2663944.0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-855100.0</s:v>
      </s:c>
      <s:c r="C19" s="170">
        <s:f>'03_Baseline'!$D$15-('03_Baseline'!$D$12*(1-0.45)*(1-'04_Mode_Params'!$D$10)+'04_Mode_Params'!$D$6+'02_Inputs'!$D$17)</s:f>
        <s:v>-752300.0</s:v>
      </s:c>
      <s:c r="D19" s="170">
        <s:f>'03_Baseline'!$D$15-('03_Baseline'!$D$12*(1-0.5)*(1-'04_Mode_Params'!$D$10)+'04_Mode_Params'!$D$6+'02_Inputs'!$D$17)</s:f>
        <s:v>-649500.0</s:v>
      </s:c>
      <s:c r="E19" s="170">
        <s:f>'03_Baseline'!$D$15-('03_Baseline'!$D$12*(1-0.55)*(1-'04_Mode_Params'!$D$10)+'04_Mode_Params'!$D$6+'02_Inputs'!$D$17)</s:f>
        <s:v>-546700.0</s:v>
      </s:c>
      <s:c r="F19" s="170">
        <s:f>'03_Baseline'!$D$15-('03_Baseline'!$D$12*(1-0.6)*(1-'04_Mode_Params'!$D$10)+'04_Mode_Params'!$D$6+'02_Inputs'!$D$17)</s:f>
        <s:v>-443900.0</s:v>
      </s:c>
      <s:c r="G19" s="170">
        <s:f>'03_Baseline'!$D$15-('03_Baseline'!$D$12*(1-0.65)*(1-'04_Mode_Params'!$D$10)+'04_Mode_Params'!$D$6+'02_Inputs'!$D$17)</s:f>
        <s:v>-341100.0</s:v>
      </s:c>
      <s:c r="H19" s="170">
        <s:f>'03_Baseline'!$D$15-('03_Baseline'!$D$12*(1-0.7)*(1-'04_Mode_Params'!$D$10)+'04_Mode_Params'!$D$6+'02_Inputs'!$D$17)</s:f>
        <s:v>-238300.0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2026-04-26T13:28:33Z</dcterms:created>
  <dcterms:modified xsi:type="dcterms:W3CDTF">2026-04-26T13:28:33Z</dcterms:modified>
</cp:coreProperties>
</file>