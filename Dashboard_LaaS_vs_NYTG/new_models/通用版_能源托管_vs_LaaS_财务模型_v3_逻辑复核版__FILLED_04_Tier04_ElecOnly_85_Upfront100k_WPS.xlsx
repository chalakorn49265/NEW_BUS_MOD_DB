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3070192.734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2118433.446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2342120.554</s:v>
      </s:c>
      <s:c r="E18" s="173">
        <s:f>C18-D18</s:f>
        <s:v>1028182.446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388430.446</s:v>
      </s:c>
      <s:c r="E19" s="173">
        <s:f>D19-C19</s:f>
        <s:v>1028182.446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508333.3333333335</s:v>
      </s:c>
      <s:c r="E21" s="173">
        <s:f>C21-D21</s:f>
        <s:v>101663.66666666651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179986.56469615546</s:v>
      </s:c>
      <s:c r="E22" s="173">
        <s:f>C22-D22</s:f>
        <s:v>214250.31928799846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229842.7380460246</s:v>
      </s:c>
      <s:c r="E23" s="173">
        <s:f>C23-D23</s:f>
        <s:v>-68022.65103414006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1831666.6666666665</s:v>
      </s:c>
      <s:c r="E24" s="173">
        <s:f>D24-C24</s:f>
        <s:v>99363.66666666651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3355535.0649350644</s:v>
      </s:c>
      <s:c r="E25" s="173">
        <s:f>C25-D25</s:f>
        <s:v>-183864.9350649356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14777266.666666692</s:v>
      </s:c>
      <s:c r="E26" s="173">
        <s:f>D26-C26</s:f>
        <s:v>993636.6666666921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7407946.992445237</s:v>
      </s:c>
      <s:c r="E27" s="173">
        <s:f>D27-C27</s:f>
        <s:v>-15099.106674213894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0.6742401465531098</s:v>
      </s:c>
      <s:c r="E28" s="171">
        <s:f>D28-C28</s:f>
        <s:v>0.19453204917868971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14777266.666666692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7407946.992445237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0.6742401465531098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5.626315275775416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734.5742261241385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39.401612236461354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229842.7380460246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98504.03059115341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100000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Tier04_ElecOnly_85_Upfront100k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59.23418768085986</s:v>
      </s:c>
      <s:c r="E52" s="186" t="n">
        <s:v>345532.7614716826</s:v>
      </s:c>
      <s:c r="F52" s="186" t="n">
        <s:v>148085.4692021497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55.29402645721373</s:v>
      </s:c>
      <s:c r="E53" s="186" t="n">
        <s:v>322548.4876670801</s:v>
      </s:c>
      <s:c r="F53" s="186" t="n">
        <s:v>138235.0661430343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39.40161223646135</s:v>
      </s:c>
      <s:c r="E54" s="186" t="n">
        <s:v>229842.7380460246</s:v>
      </s:c>
      <s:c r="F54" s="186" t="n">
        <s:v>98504.03059115341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2330000.0</s:v>
      </s:c>
      <s:c r="E40" s="193">
        <s:f>MAX(0,('04_Mode_Params'!$D$6*(1+'02_Inputs'!$D$16)^(2-1))-('02_Inputs'!$D$45/'02_Inputs'!$D$5))</s:f>
        <s:v>2330000.0</s:v>
      </s:c>
      <s:c r="F40" s="193">
        <s:f>MAX(0,('04_Mode_Params'!$D$6*(1+'02_Inputs'!$D$16)^(3-1))-('02_Inputs'!$D$45/'02_Inputs'!$D$5))</s:f>
        <s:v>2330000.0</s:v>
      </s:c>
      <s:c r="G40" s="193">
        <s:f>MAX(0,('04_Mode_Params'!$D$6*(1+'02_Inputs'!$D$16)^(4-1))-('02_Inputs'!$D$45/'02_Inputs'!$D$5))</s:f>
        <s:v>2330000.0</s:v>
      </s:c>
      <s:c r="H40" s="193">
        <s:f>MAX(0,('04_Mode_Params'!$D$6*(1+'02_Inputs'!$D$16)^(5-1))-('02_Inputs'!$D$45/'02_Inputs'!$D$5))</s:f>
        <s:v>2330000.0</s:v>
      </s:c>
      <s:c r="I40" s="193">
        <s:f>MAX(0,('04_Mode_Params'!$D$6*(1+'02_Inputs'!$D$16)^(6-1))-('02_Inputs'!$D$45/'02_Inputs'!$D$5))</s:f>
        <s:v>2330000.0</s:v>
      </s:c>
      <s:c r="J40" s="193">
        <s:f>MAX(0,MAX((('04_Mode_Params'!$D$6*(1+'02_Inputs'!$D$16)^(7-1))*0.2),('04_Mode_Params'!$D$6*(1+'02_Inputs'!$D$16)^(7-1))-'02_Inputs'!$D$46)-('02_Inputs'!$D$45/'02_Inputs'!$D$5))</s:f>
        <s:v>2330000.0</s:v>
      </s:c>
      <s:c r="K40" s="193">
        <s:f>MAX(0,MAX((('04_Mode_Params'!$D$6*(1+'02_Inputs'!$D$16)^(8-1))*0.2),('04_Mode_Params'!$D$6*(1+'02_Inputs'!$D$16)^(8-1))-'02_Inputs'!$D$46)-('02_Inputs'!$D$45/'02_Inputs'!$D$5))</s:f>
        <s:v>2330000.0</s:v>
      </s:c>
      <s:c r="L40" s="193">
        <s:f>MAX(0,MAX((('04_Mode_Params'!$D$6*(1+'02_Inputs'!$D$16)^(9-1))*0.2),('04_Mode_Params'!$D$6*(1+'02_Inputs'!$D$16)^(9-1))-'02_Inputs'!$D$46)-('02_Inputs'!$D$45/'02_Inputs'!$D$5))</s:f>
        <s:v>2330000.0</s:v>
      </s:c>
      <s:c r="M40" s="193">
        <s:f>MAX(0,MAX((('04_Mode_Params'!$D$6*(1+'02_Inputs'!$D$16)^(10-1))*0.2),('04_Mode_Params'!$D$6*(1+'02_Inputs'!$D$16)^(10-1))-'02_Inputs'!$D$46)-('02_Inputs'!$D$45/'02_Inputs'!$D$5))</s:f>
        <s:v>2330000.0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14777266.666666692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7407946.992445237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0.6742401465531098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5.626315275775416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2120.554000000002</s:v>
      </s:c>
      <s:c r="E58" s="193">
        <s:f>E43*(1-'04_Mode_Params'!$D$10)</s:f>
        <s:v>2120.554000000002</s:v>
      </s:c>
      <s:c r="F58" s="193">
        <s:f>F43*(1-'04_Mode_Params'!$D$10)</s:f>
        <s:v>2120.554000000002</s:v>
      </s:c>
      <s:c r="G58" s="193">
        <s:f>G43*(1-'04_Mode_Params'!$D$10)</s:f>
        <s:v>2120.554000000002</s:v>
      </s:c>
      <s:c r="H58" s="193">
        <s:f>H43*(1-'04_Mode_Params'!$D$10)</s:f>
        <s:v>2120.554000000002</s:v>
      </s:c>
      <s:c r="I58" s="193">
        <s:f>I43*(1-'04_Mode_Params'!$D$10)</s:f>
        <s:v>2120.554000000002</s:v>
      </s:c>
      <s:c r="J58" s="193">
        <s:f>J43*(1-'04_Mode_Params'!$D$10)</s:f>
        <s:v>2120.554000000002</s:v>
      </s:c>
      <s:c r="K58" s="193">
        <s:f>K43*(1-'04_Mode_Params'!$D$10)</s:f>
        <s:v>2120.554000000002</s:v>
      </s:c>
      <s:c r="L58" s="193">
        <s:f>L43*(1-'04_Mode_Params'!$D$10)</s:f>
        <s:v>2120.554000000002</s:v>
      </s:c>
      <s:c r="M58" s="193">
        <s:f>M43*(1-'04_Mode_Params'!$D$10)</s:f>
        <s:v>2120.554000000002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2330000.0</s:v>
      </s:c>
      <s:c r="E59" s="193">
        <s:f>E40</s:f>
        <s:v>2330000.0</s:v>
      </s:c>
      <s:c r="F59" s="193">
        <s:f>F40</s:f>
        <s:v>2330000.0</s:v>
      </s:c>
      <s:c r="G59" s="193">
        <s:f>G40</s:f>
        <s:v>2330000.0</s:v>
      </s:c>
      <s:c r="H59" s="193">
        <s:f>H40</s:f>
        <s:v>2330000.0</s:v>
      </s:c>
      <s:c r="I59" s="193">
        <s:f>I40</s:f>
        <s:v>2330000.0</s:v>
      </s:c>
      <s:c r="J59" s="193">
        <s:f>J40</s:f>
        <s:v>2330000.0</s:v>
      </s:c>
      <s:c r="K59" s="193">
        <s:f>K40</s:f>
        <s:v>2330000.0</s:v>
      </s:c>
      <s:c r="L59" s="193">
        <s:f>L40</s:f>
        <s:v>2330000.0</s:v>
      </s:c>
      <s:c r="M59" s="193">
        <s:f>M40</s:f>
        <s:v>2330000.0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2332120.554</s:v>
      </s:c>
      <s:c r="E61" s="195">
        <s:f>E58+E59+E60</s:f>
        <s:v>2332120.554</s:v>
      </s:c>
      <s:c r="F61" s="195">
        <s:f>F58+F59+F60</s:f>
        <s:v>2332120.554</s:v>
      </s:c>
      <s:c r="G61" s="195">
        <s:f>G58+G59+G60</s:f>
        <s:v>2332120.554</s:v>
      </s:c>
      <s:c r="H61" s="195">
        <s:f>H58+H59+H60</s:f>
        <s:v>2332120.554</s:v>
      </s:c>
      <s:c r="I61" s="195">
        <s:f>I58+I59+I60</s:f>
        <s:v>2332120.554</s:v>
      </s:c>
      <s:c r="J61" s="195">
        <s:f>J58+J59+J60</s:f>
        <s:v>2332120.554</s:v>
      </s:c>
      <s:c r="K61" s="195">
        <s:f>K58+K59+K60</s:f>
        <s:v>2332120.554</s:v>
      </s:c>
      <s:c r="L61" s="195">
        <s:f>L58+L59+L60</s:f>
        <s:v>2332120.554</s:v>
      </s:c>
      <s:c r="M61" s="195">
        <s:f>M58+M59+M60</s:f>
        <s:v>2332120.554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398430.446</s:v>
      </s:c>
      <s:c r="E62" s="195">
        <s:f>E8-E61</s:f>
        <s:v>398430.446</s:v>
      </s:c>
      <s:c r="F62" s="195">
        <s:f>F8-F61</s:f>
        <s:v>398430.446</s:v>
      </s:c>
      <s:c r="G62" s="195">
        <s:f>G8-G61</s:f>
        <s:v>398430.446</s:v>
      </s:c>
      <s:c r="H62" s="195">
        <s:f>H8-H61</s:f>
        <s:v>398430.446</s:v>
      </s:c>
      <s:c r="I62" s="195">
        <s:f>I8-I61</s:f>
        <s:v>398430.446</s:v>
      </s:c>
      <s:c r="J62" s="195">
        <s:f>J8-J61</s:f>
        <s:v>398430.446</s:v>
      </s:c>
      <s:c r="K62" s="195">
        <s:f>K8-K61</s:f>
        <s:v>398430.446</s:v>
      </s:c>
      <s:c r="L62" s="195">
        <s:f>L8-L61</s:f>
        <s:v>398430.446</s:v>
      </s:c>
      <s:c r="M62" s="195">
        <s:f>M8-M61</s:f>
        <s:v>398430.446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-871781.3999999999</s:v>
      </s:c>
      <s:c r="C19" s="170">
        <s:f>'03_Baseline'!$D$15-('03_Baseline'!$D$12*(1-0.45)*(1-'04_Mode_Params'!$D$10)+'04_Mode_Params'!$D$6+'02_Inputs'!$D$17)</s:f>
        <s:v>-765753.7000000002</s:v>
      </s:c>
      <s:c r="D19" s="170">
        <s:f>'03_Baseline'!$D$15-('03_Baseline'!$D$12*(1-0.5)*(1-'04_Mode_Params'!$D$10)+'04_Mode_Params'!$D$6+'02_Inputs'!$D$17)</s:f>
        <s:v>-627452.0</s:v>
      </s:c>
      <s:c r="E19" s="170">
        <s:f>'03_Baseline'!$D$15-('03_Baseline'!$D$12*(1-0.55)*(1-'04_Mode_Params'!$D$10)+'04_Mode_Params'!$D$6+'02_Inputs'!$D$17)</s:f>
        <s:v>-553698.2999999998</s:v>
      </s:c>
      <s:c r="F19" s="170">
        <s:f>'03_Baseline'!$D$15-('03_Baseline'!$D$12*(1-0.6)*(1-'04_Mode_Params'!$D$10)+'04_Mode_Params'!$D$6+'02_Inputs'!$D$17)</s:f>
        <s:v>-447670.6000000001</s:v>
      </s:c>
      <s:c r="G19" s="170">
        <s:f>'03_Baseline'!$D$15-('03_Baseline'!$D$12*(1-0.65)*(1-'04_Mode_Params'!$D$10)+'04_Mode_Params'!$D$6+'02_Inputs'!$D$17)</s:f>
        <s:v>-341642.8999999999</s:v>
      </s:c>
      <s:c r="H19" s="170">
        <s:f>'03_Baseline'!$D$15-('03_Baseline'!$D$12*(1-0.7)*(1-'04_Mode_Params'!$D$10)+'04_Mode_Params'!$D$6+'02_Inputs'!$D$17)</s:f>
        <s:v>-235615.2000000002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2026-04-27T04:47:17Z</dcterms:created>
  <dcterms:modified xsi:type="dcterms:W3CDTF">2026-04-27T04:47:17Z</dcterms:modified>
</cp:coreProperties>
</file>