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960" activeTab="2"/>
  </bookViews>
  <sheets>
    <sheet name="00_LaaS收益来源" sheetId="1" r:id="rId1"/>
    <sheet name="01_Dashboard" sheetId="2" r:id="rId2"/>
    <sheet name="02_Inputs" sheetId="3" r:id="rId3"/>
    <sheet name="03_Baseline" sheetId="4" r:id="rId4"/>
    <sheet name="04_Mode_Params" sheetId="5" r:id="rId5"/>
    <sheet name="05_Annual_Model" sheetId="6" r:id="rId6"/>
    <sheet name="06_Sensitivity" sheetId="7" r:id="rId7"/>
    <sheet name="07_Model_Checks" sheetId="8" r:id="rId8"/>
    <sheet name="08_Calc_Logic" sheetId="9" r:id="rId9"/>
    <sheet name="09_Glossary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<sst xmlns="http://schemas.openxmlformats.org/spreadsheetml/2006/main" count="955" uniqueCount="482">
  <si>
    <t>同等条件下：LaaS 相比能源托管的收益体现在哪里</t>
  </si>
  <si>
    <t>本页专门回答：在同样灯具规模、同样电价、同样业主年度付费预算下，LaaS相对能源托管的增量收益来自哪里；同时指出LaaS更高CAPEX和平台成本带来的回报压力。</t>
  </si>
  <si>
    <t>同等条件快照</t>
  </si>
  <si>
    <t>条件项</t>
  </si>
  <si>
    <t>单位</t>
  </si>
  <si>
    <t>数值/状态</t>
  </si>
  <si>
    <t>说明</t>
  </si>
  <si>
    <t/>
  </si>
  <si>
    <t>灯具数量</t>
  </si>
  <si>
    <t>盏</t>
  </si>
  <si>
    <t>两种模式一致</t>
  </si>
  <si>
    <t>电价</t>
  </si>
  <si>
    <t>元/kWh</t>
  </si>
  <si>
    <t>基准年电费</t>
  </si>
  <si>
    <t>元/年</t>
  </si>
  <si>
    <t>基准年运维费</t>
  </si>
  <si>
    <t>业主年度付费预算</t>
  </si>
  <si>
    <t>默认两种模式均为100万元/年，可在Inputs修改</t>
  </si>
  <si>
    <t>能源托管/LaaS年费是否相同</t>
  </si>
  <si>
    <t>TRUE/FALSE</t>
  </si>
  <si>
    <t>TRUE表示在同样业主付费条件下比较</t>
  </si>
  <si>
    <t>LaaS 相对能源托管的增量收益/成本拆解</t>
  </si>
  <si>
    <t>维度</t>
  </si>
  <si>
    <t>口径</t>
  </si>
  <si>
    <t>能源托管/EMC</t>
  </si>
  <si>
    <t>LaaS/AI订阅</t>
  </si>
  <si>
    <t>LaaS相对增益</t>
  </si>
  <si>
    <t>增益归属</t>
  </si>
  <si>
    <t>结论</t>
  </si>
  <si>
    <t>综合节电率</t>
  </si>
  <si>
    <t>越高越好</t>
  </si>
  <si>
    <t>业主/承担电费方</t>
  </si>
  <si>
    <t>LaaS通过AI调光、异常识别、精细化控制提升节电率。</t>
  </si>
  <si>
    <t>首年节电量</t>
  </si>
  <si>
    <t>kWh/年，越高越好</t>
  </si>
  <si>
    <t>基于现状年用电量×节电率。</t>
  </si>
  <si>
    <t>首年电费节省</t>
  </si>
  <si>
    <t>元/年，越高越好</t>
  </si>
  <si>
    <t>如果业主继续付电费，该收益主要归业主；如果服务商承担电费，该收益归服务商。</t>
  </si>
  <si>
    <t>业主年度总支出</t>
  </si>
  <si>
    <t>元/年，越低越好</t>
  </si>
  <si>
    <t>业主</t>
  </si>
  <si>
    <t>服务费+业主承担电费+保留管理成本。</t>
  </si>
  <si>
    <t>业主年度净节省</t>
  </si>
  <si>
    <t>相对不改造基准总成本。</t>
  </si>
  <si>
    <t>服务商年度收入合计</t>
  </si>
  <si>
    <t>服务商</t>
  </si>
  <si>
    <t>固定服务/订阅费+第三方收入；默认年费相同，收入增量通常来自增值服务。</t>
  </si>
  <si>
    <t>服务商年度现金成本合计</t>
  </si>
  <si>
    <t>LaaS运维可能下降，但平台AI与升级成本通常上升。</t>
  </si>
  <si>
    <t>其中：运维成本</t>
  </si>
  <si>
    <t>LaaS通过远程诊断、工单系统、预测性维护降低人工巡检与抢修。</t>
  </si>
  <si>
    <t>其中：平台/升级成本</t>
  </si>
  <si>
    <t>LaaS通常更高，这是其商业模型必须覆盖的成本。</t>
  </si>
  <si>
    <t>服务商年度净经营现金流</t>
  </si>
  <si>
    <t>收入合计−年度现金成本，不含Y0 CAPEX。</t>
  </si>
  <si>
    <t>初始CAPEX总额</t>
  </si>
  <si>
    <t>元，越低越好</t>
  </si>
  <si>
    <t>服务商/资方</t>
  </si>
  <si>
    <t>LaaS硬件与平台配置更高时，CAPEX劣势会拖累回收。</t>
  </si>
  <si>
    <t>10年累计净现金流</t>
  </si>
  <si>
    <t>元，越高越好</t>
  </si>
  <si>
    <t>含Y0 CAPEX，是服务商是否回本的硬指标。</t>
  </si>
  <si>
    <t>NPV</t>
  </si>
  <si>
    <t>折现后判断是否达到资金成本要求。</t>
  </si>
  <si>
    <t>IRR</t>
  </si>
  <si>
    <t>%，越高越好</t>
  </si>
  <si>
    <t>与资金成本比较。</t>
  </si>
  <si>
    <t>NPV=0所需年费</t>
  </si>
  <si>
    <t>服务商/业主谈判</t>
  </si>
  <si>
    <t>若LaaS所需年费更高，需要用增值收益、资产转让或降本补齐。</t>
  </si>
  <si>
    <t>结论框架</t>
  </si>
  <si>
    <t>业主侧结论</t>
  </si>
  <si>
    <t>LaaS是否更适合业主，核心看“业主年度总支出是否更低、净节省是否更高”。默认假设下，LaaS因节电率更高，业主侧节省通常更明显。</t>
  </si>
  <si>
    <t>服务商侧结论</t>
  </si>
  <si>
    <t>LaaS的运维成本可能下降，但更高CAPEX、平台AI成本和升级储备会稀释收益。若年费同为100万元，必须检查NPV、IRR和10年累计现金流是否能覆盖投资。</t>
  </si>
  <si>
    <t>通用版财务模型｜能源托管 vs LaaS/AI订阅</t>
  </si>
  <si>
    <t>先看 00_LaaS收益来源 判断Laas增量价值，再到本页看双方核心财务指标。</t>
  </si>
  <si>
    <t>项目基准</t>
  </si>
  <si>
    <t>基准年总成本</t>
  </si>
  <si>
    <t>业主10年预算总额</t>
  </si>
  <si>
    <t>元</t>
  </si>
  <si>
    <t>10年不改造总成本</t>
  </si>
  <si>
    <t>两种模式核心结果</t>
  </si>
  <si>
    <t>指标</t>
  </si>
  <si>
    <t>LaaS相对差异</t>
  </si>
  <si>
    <t>判断</t>
  </si>
  <si>
    <t>服务商Y0投入，越低越容易回本</t>
  </si>
  <si>
    <t>服务费/订阅费+其他第三方收入</t>
  </si>
  <si>
    <t>电费成本+运维+平台+备件，不含CAPEX</t>
  </si>
  <si>
    <t>年度收入−年度现金成本，不含Y0 CAPEX</t>
  </si>
  <si>
    <t>含Y0 CAPEX</t>
  </si>
  <si>
    <t>折现率来自Inputs</t>
  </si>
  <si>
    <t>%</t>
  </si>
  <si>
    <t>服务商项目内部收益率</t>
  </si>
  <si>
    <t>10年ROI</t>
  </si>
  <si>
    <t>10年累计净现金流÷初始CAPEX</t>
  </si>
  <si>
    <t>静态回收期</t>
  </si>
  <si>
    <t>年</t>
  </si>
  <si>
    <t>累计现金流首次转正年份</t>
  </si>
  <si>
    <t>业主支付电费+服务费+保留管理成本</t>
  </si>
  <si>
    <t>相对不改造情形</t>
  </si>
  <si>
    <t>业主节省率</t>
  </si>
  <si>
    <t>业主净节省÷基准年总成本</t>
  </si>
  <si>
    <t>服务商达到折现率要求的参考底价</t>
  </si>
  <si>
    <t>读法提示</t>
  </si>
  <si>
    <t>1</t>
  </si>
  <si>
    <t>业主侧先看“业主年度总支出”是否低于基准年总成本。服务费不是业主收入，而是业主支出。</t>
  </si>
  <si>
    <t>2</t>
  </si>
  <si>
    <t>服务商侧先看“年度净经营现金流”是否能覆盖Y0 CAPEX；如果10年累计现金流仍为负，则年费/成本/CAPEX结构需要重做。</t>
  </si>
  <si>
    <t>3</t>
  </si>
  <si>
    <t>Laas的优势不应只看节电率，还要看运维成本下降、持续升级能力、增值收入和客户黏性；但这些优势必须覆盖更高CAPEX和平台成本。</t>
  </si>
  <si>
    <t>4</t>
  </si>
  <si>
    <t>本版已避免“成本用负数列示再相加”带来的误读，所有成本均为正数并在公式中扣减。</t>
  </si>
  <si>
    <t>通用输入假设｜能源托管 vs LaaS/AI订阅</t>
  </si>
  <si>
    <t>蓝色数字为可修改输入。所有成本均按“正数成本/支出”录入，净现金流采用显性减法，避免把成本当收入相加。</t>
  </si>
  <si>
    <t>模块</t>
  </si>
  <si>
    <t>参数</t>
  </si>
  <si>
    <t>输入值</t>
  </si>
  <si>
    <t>来源/依据</t>
  </si>
  <si>
    <t>是否常改</t>
  </si>
  <si>
    <t>备注</t>
  </si>
  <si>
    <t>校验</t>
  </si>
  <si>
    <t>基础参数</t>
  </si>
  <si>
    <t>模型期</t>
  </si>
  <si>
    <t>用户示例/通用模型</t>
  </si>
  <si>
    <t>是</t>
  </si>
  <si>
    <t>模板当前展开Y0-Y10；如需15年可继续扩展年度列。</t>
  </si>
  <si>
    <t>&gt;0</t>
  </si>
  <si>
    <t>用户示例假设</t>
  </si>
  <si>
    <t>用于计算总能耗、总运维费、总CAPEX。</t>
  </si>
  <si>
    <t>业主年度服务费预算/付费上限</t>
  </si>
  <si>
    <t>这里是业主每年可支付给服务商的固定预算，不是业主一次性CAPEX。</t>
  </si>
  <si>
    <t>&gt;=0</t>
  </si>
  <si>
    <t>如存在峰谷电价，可替换为加权平均电价。</t>
  </si>
  <si>
    <t>现状单灯功率</t>
  </si>
  <si>
    <t>W/盏</t>
  </si>
  <si>
    <t>模型默认假设，需现场替换</t>
  </si>
  <si>
    <t>用于估算现状年用电量。</t>
  </si>
  <si>
    <t>每日亮灯小时</t>
  </si>
  <si>
    <t>小时/天</t>
  </si>
  <si>
    <t>路灯常按10-12小时估算，具体按当地控制策略替换。</t>
  </si>
  <si>
    <t>0-24</t>
  </si>
  <si>
    <t>年运行天数</t>
  </si>
  <si>
    <t>天/年</t>
  </si>
  <si>
    <t>模型默认假设</t>
  </si>
  <si>
    <t>通常取365。</t>
  </si>
  <si>
    <t>现状运维单价</t>
  </si>
  <si>
    <t>元/盏/年</t>
  </si>
  <si>
    <t>业主现状运维支出。</t>
  </si>
  <si>
    <t>折现率</t>
  </si>
  <si>
    <t>用于服务商NPV，可按资金成本/项目风险调整。</t>
  </si>
  <si>
    <t>电价年增长率</t>
  </si>
  <si>
    <t>可选</t>
  </si>
  <si>
    <t>若不确定，可先设为0。</t>
  </si>
  <si>
    <t>服务商成本年增长率</t>
  </si>
  <si>
    <t>用于运维、平台、备件等成本年度增长。</t>
  </si>
  <si>
    <t>服务费年增长率</t>
  </si>
  <si>
    <t>若合同约定服务费递增，可在此填写。</t>
  </si>
  <si>
    <t>业主保留管理成本</t>
  </si>
  <si>
    <t>如业主仍保留少量监督、接口、验收等管理成本。</t>
  </si>
  <si>
    <t>初始CAPEX单价</t>
  </si>
  <si>
    <t>元/盏</t>
  </si>
  <si>
    <t>模型默认假设，需报价替换</t>
  </si>
  <si>
    <t>含灯具、施工、基础控制等；现金流Y0扣减。</t>
  </si>
  <si>
    <t>固定服务费收入</t>
  </si>
  <si>
    <t>默认等于业主年度预算</t>
  </si>
  <si>
    <t>服务商每年从业主获得的固定服务费。</t>
  </si>
  <si>
    <t>其他/第三方收入</t>
  </si>
  <si>
    <t>如非业主支付的增值收入；不自动计入业主支出，避免双算。</t>
  </si>
  <si>
    <t>模型默认假设，需项目测算替换</t>
  </si>
  <si>
    <t>LED改造+基础控制后的综合节电率。</t>
  </si>
  <si>
    <t>0-95%</t>
  </si>
  <si>
    <t>服务商运维现金成本</t>
  </si>
  <si>
    <t>服务商实际维护成本，按正数录入。</t>
  </si>
  <si>
    <t>平台/管理成本</t>
  </si>
  <si>
    <t>项目管理、平台接入、巡检系统等年度成本。</t>
  </si>
  <si>
    <t>备件/小改造储备</t>
  </si>
  <si>
    <t>备件更换、小修小改预留。</t>
  </si>
  <si>
    <t>服务商是否承担电费</t>
  </si>
  <si>
    <t>0/1</t>
  </si>
  <si>
    <t>模型开关</t>
  </si>
  <si>
    <t>0=业主继续支付电费；1=服务商承担电费。</t>
  </si>
  <si>
    <t>0或1</t>
  </si>
  <si>
    <t>资产转让年份</t>
  </si>
  <si>
    <t>0表示不转让；如第5年转让则填5。</t>
  </si>
  <si>
    <t>0-模型期</t>
  </si>
  <si>
    <t>资产转让收入</t>
  </si>
  <si>
    <t>资产买断/转让收入；仅在资产转让年份进入服务商现金流。</t>
  </si>
  <si>
    <t>通常含AI、通信、传感、平台接入，可能高于普通托管。</t>
  </si>
  <si>
    <t>订阅费收入</t>
  </si>
  <si>
    <t>服务商每年从业主获得的订阅费。</t>
  </si>
  <si>
    <t>广告、数据服务、城市接口等收入；不自动计入业主支出。</t>
  </si>
  <si>
    <t>LED+AI调光+异常识别后的综合节电率。</t>
  </si>
  <si>
    <t>AI巡检、远程诊断、工单化后可能降低。</t>
  </si>
  <si>
    <t>平台/AI升级成本</t>
  </si>
  <si>
    <t>算法、平台、通信、云资源、版本升级等年度成本。</t>
  </si>
  <si>
    <t>升级/备件储备</t>
  </si>
  <si>
    <t>硬件升级、备件与系统迭代预留。</t>
  </si>
  <si>
    <t>首期款(元)/客户预付</t>
  </si>
  <si>
    <t>后4年年费减免(元/年)</t>
  </si>
  <si>
    <t>方案标识</t>
  </si>
  <si>
    <t>Tier03_ElecOnly_85</t>
  </si>
  <si>
    <t>现状基准测算｜不改造情形</t>
  </si>
  <si>
    <t>所有节省额均相对于本页“不改造”基准计算。</t>
  </si>
  <si>
    <t>项目</t>
  </si>
  <si>
    <t>公式/口径</t>
  </si>
  <si>
    <t>计算值</t>
  </si>
  <si>
    <t>来自Inputs</t>
  </si>
  <si>
    <t>年运行小时</t>
  </si>
  <si>
    <t>小时/年</t>
  </si>
  <si>
    <t>每日亮灯小时×年运行天数</t>
  </si>
  <si>
    <t>现状年用电量</t>
  </si>
  <si>
    <t>kWh/年</t>
  </si>
  <si>
    <t>灯具数量×单灯功率÷1000×年运行小时</t>
  </si>
  <si>
    <t>现状年用电量×电价</t>
  </si>
  <si>
    <t>灯具数量×现状运维单价</t>
  </si>
  <si>
    <t>基准年电费+基准年运维费</t>
  </si>
  <si>
    <t>业主年度服务费预算</t>
  </si>
  <si>
    <t>10年业主预算总额</t>
  </si>
  <si>
    <t>年度预算×模型期</t>
  </si>
  <si>
    <t>年度基准总成本合计，考虑增长率</t>
  </si>
  <si>
    <t>模式参数对比｜同一项目条件下的两种模式</t>
  </si>
  <si>
    <t>注意：业主年度预算、灯具数量、电价、现状运维费等基础条件相同；模式差异只体现在CAPEX、节电率、运维成本、平台成本、备件储备、是否承担电费等。</t>
  </si>
  <si>
    <t>计算口径</t>
  </si>
  <si>
    <t>归属方</t>
  </si>
  <si>
    <t>灯具数量×CAPEX单价</t>
  </si>
  <si>
    <t>Y0一次性投入，现金流中扣减</t>
  </si>
  <si>
    <t>年度服务/订阅收入</t>
  </si>
  <si>
    <t>来自输入假设</t>
  </si>
  <si>
    <t>服务商收入/业主支出</t>
  </si>
  <si>
    <t>业主固定支付给服务商</t>
  </si>
  <si>
    <t>服务商收入</t>
  </si>
  <si>
    <t>默认不计入业主支出，避免双算</t>
  </si>
  <si>
    <t>承担电费一方</t>
  </si>
  <si>
    <t>影响改造后电费</t>
  </si>
  <si>
    <t>改造后首年电费总额</t>
  </si>
  <si>
    <t>基准电费×(1-节电率)</t>
  </si>
  <si>
    <t>先计算物理电费，再由开关分配承担方</t>
  </si>
  <si>
    <t>现金流分配</t>
  </si>
  <si>
    <t>0=业主承担；1=服务商承担</t>
  </si>
  <si>
    <t>服务商电费成本</t>
  </si>
  <si>
    <t>改造后电费×开关</t>
  </si>
  <si>
    <t>服务商成本</t>
  </si>
  <si>
    <t>成本为正数，净现金流中扣减</t>
  </si>
  <si>
    <t>业主支付电费</t>
  </si>
  <si>
    <t>改造后电费×(1-开关)</t>
  </si>
  <si>
    <t>业主支出</t>
  </si>
  <si>
    <t>业主若不承担则为0</t>
  </si>
  <si>
    <t>服务商运维成本</t>
  </si>
  <si>
    <t>灯具数量×服务商运维现金成本单价</t>
  </si>
  <si>
    <t>平台/管理/AI成本</t>
  </si>
  <si>
    <t>备件/升级储备</t>
  </si>
  <si>
    <t>服务/订阅收入+其他/第三方收入</t>
  </si>
  <si>
    <t>不含资产转让一次性收入</t>
  </si>
  <si>
    <t>服务商电费成本+运维成本+平台成本+备件储备</t>
  </si>
  <si>
    <t>不含初始CAPEX</t>
  </si>
  <si>
    <t>收入合计−现金成本合计</t>
  </si>
  <si>
    <t>不含Y0 CAPEX</t>
  </si>
  <si>
    <t>业主支付电费+服务/订阅费+业主保留管理成本</t>
  </si>
  <si>
    <t>不包含服务商第三方收入</t>
  </si>
  <si>
    <t>基准年总成本−业主年度总支出</t>
  </si>
  <si>
    <t>正数表示业主省钱</t>
  </si>
  <si>
    <t>用于判断业主接受度</t>
  </si>
  <si>
    <t>年度现金流模型｜显性减法与承担方拆分版</t>
  </si>
  <si>
    <t>本版修正：成本行全部为正数；净现金流=收入−成本；服务商其他/第三方收入不自动算作业主支出；电费按“是否由服务商承担”开关在服务商与业主之间分配。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</si>
  <si>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</si>
  <si>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</si>
  <si>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</si>
  <si>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</si>
  <si>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</si>
  <si>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</si>
  <si>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</si>
  <si>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</si>
  <si>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</si>
  <si>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</si>
  <si>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</si>
  <si>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A. 基准情形（不改造）</t>
  </si>
  <si>
    <t>基准</t>
  </si>
  <si>
    <t>业主年度预算</t>
  </si>
  <si>
    <t>B. 能源托管/EMC｜服务商现金流</t>
  </si>
  <si>
    <t>能源托管/EMC｜服务商</t>
  </si>
  <si>
    <t>初始CAPEX支出（正数，扣减）</t>
  </si>
  <si>
    <t>节电后电费总额</t>
  </si>
  <si>
    <t>服务商承担电费成本（正数，扣减）</t>
  </si>
  <si>
    <t>运维成本（正数，扣减）</t>
  </si>
  <si>
    <t>平台/管理成本（正数，扣减）</t>
  </si>
  <si>
    <t>备件/小改造储备（正数，扣减）</t>
  </si>
  <si>
    <t>年度总收入</t>
  </si>
  <si>
    <t>年度总现金成本</t>
  </si>
  <si>
    <t>年度净现金流</t>
  </si>
  <si>
    <t>累计现金流</t>
  </si>
  <si>
    <t>C. 能源托管/EMC｜业主侧</t>
  </si>
  <si>
    <t>能源托管/EMC｜业主</t>
  </si>
  <si>
    <t>固定服务费支出</t>
  </si>
  <si>
    <t>D. LaaS/AI订阅｜服务商现金流</t>
  </si>
  <si>
    <t>LaaS/AI订阅｜服务商</t>
  </si>
  <si>
    <t>订阅收入</t>
  </si>
  <si>
    <t>平台/AI升级成本（正数，扣减）</t>
  </si>
  <si>
    <t>升级/备件储备（正数，扣减）</t>
  </si>
  <si>
    <t>E. LaaS/AI订阅｜业主侧</t>
  </si>
  <si>
    <t>LaaS/AI订阅｜业主</t>
  </si>
  <si>
    <t>订阅费支出</t>
  </si>
  <si>
    <t>敏感性分析｜年费、节电率与服务商回报要求</t>
  </si>
  <si>
    <t>用于判断“100万元/年”是否足够，以及Laas节电率提升能否覆盖更高CAPEX和平台/升级成本。</t>
  </si>
  <si>
    <t>模式</t>
  </si>
  <si>
    <t>10年现金回本所需年费</t>
  </si>
  <si>
    <t>当前年费</t>
  </si>
  <si>
    <t>当前年费缺口/富余</t>
  </si>
  <si>
    <t>解释</t>
  </si>
  <si>
    <t>若为负，说明当前年费低于达到折现率要求的年费。</t>
  </si>
  <si>
    <t>若Laas CAPEX和平台升级成本更高，所需年费通常高于普通托管。</t>
  </si>
  <si>
    <t>年费敏感性</t>
  </si>
  <si>
    <t>80万</t>
  </si>
  <si>
    <t>90万</t>
  </si>
  <si>
    <t>100万</t>
  </si>
  <si>
    <t>110万</t>
  </si>
  <si>
    <t>120万</t>
  </si>
  <si>
    <t>140万</t>
  </si>
  <si>
    <t>160万</t>
  </si>
  <si>
    <t>能源托管/EMC 10年ROI</t>
  </si>
  <si>
    <t>能源托管/EMC 年度净经营现金流</t>
  </si>
  <si>
    <t>LaaS/AI订阅 10年ROI</t>
  </si>
  <si>
    <t>LaaS/AI订阅 年度净经营现金流</t>
  </si>
  <si>
    <t>节电率敏感性</t>
  </si>
  <si>
    <t>40%</t>
  </si>
  <si>
    <t>45%</t>
  </si>
  <si>
    <t>50%</t>
  </si>
  <si>
    <t>55%</t>
  </si>
  <si>
    <t>60%</t>
  </si>
  <si>
    <t>65%</t>
  </si>
  <si>
    <t>70%</t>
  </si>
  <si>
    <t>能源托管/EMC 业主年净节省</t>
  </si>
  <si>
    <t>能源托管/EMC 业主节省率</t>
  </si>
  <si>
    <t>LaaS/AI订阅 业主年净节省</t>
  </si>
  <si>
    <t>LaaS/AI订阅 业主节省率</t>
  </si>
  <si>
    <t>模型逻辑复核｜关键公式与常识校验</t>
  </si>
  <si>
    <t>本页用于排查常见错误：成本是否被当作收入、业主支出是否双算、服务商其他收入是否误加给业主、电费承担方是否拆分正确。</t>
  </si>
  <si>
    <t>校验项</t>
  </si>
  <si>
    <t>检查公式</t>
  </si>
  <si>
    <t>能源托管结果</t>
  </si>
  <si>
    <t>LaaS结果</t>
  </si>
  <si>
    <t>状态</t>
  </si>
  <si>
    <t>错误含义</t>
  </si>
  <si>
    <t>修正方法</t>
  </si>
  <si>
    <t>Y1服务商净现金流=收入−成本</t>
  </si>
  <si>
    <t>Y1净现金流应等于年度总收入−年度总现金成本</t>
  </si>
  <si>
    <t>若不等，说明成本符号或公式引用错误</t>
  </si>
  <si>
    <t>检查Annual_Model服务商现金流区</t>
  </si>
  <si>
    <t>Y0服务商净现金流=-初始CAPEX</t>
  </si>
  <si>
    <t>Y0净现金流应等于0−Y0总现金成本</t>
  </si>
  <si>
    <t>若不等，说明CAPEX没有在Y0扣减</t>
  </si>
  <si>
    <t>检查Annual_Model Y0列</t>
  </si>
  <si>
    <t>成本行均为正数</t>
  </si>
  <si>
    <t>CAPEX/运维/平台/备件/电费成本应≥0</t>
  </si>
  <si>
    <t>若为负，说明又回到了“负成本相加”的口径</t>
  </si>
  <si>
    <t>把成本作为正数并在净现金流中扣减</t>
  </si>
  <si>
    <t>业主支出不含服务商第三方收入</t>
  </si>
  <si>
    <t>业主年度总支出=业主电费+服务费+保留管理成本</t>
  </si>
  <si>
    <t>若不等，说明把服务商其他收入误算成业主支出</t>
  </si>
  <si>
    <t>第三方收入只进服务商收入，不进业主支出</t>
  </si>
  <si>
    <t>电费承担方拆分正确</t>
  </si>
  <si>
    <t>服务商电费成本+业主支付电费=节电后电费总额</t>
  </si>
  <si>
    <t>若不等，说明电费被重复计入或漏计</t>
  </si>
  <si>
    <t>检查服务商是否承担电费开关</t>
  </si>
  <si>
    <t>累计现金流连贯</t>
  </si>
  <si>
    <t>Y2累计=Y1累计+Y2净现金流</t>
  </si>
  <si>
    <t>若不等，说明累计现金流断链</t>
  </si>
  <si>
    <t>检查累计现金流公式</t>
  </si>
  <si>
    <t>业主净节省口径正确</t>
  </si>
  <si>
    <t>业主净节省=不改造总成本−业主总支出</t>
  </si>
  <si>
    <t>若不等，说明节省额口径错误</t>
  </si>
  <si>
    <t>检查业主侧公式</t>
  </si>
  <si>
    <t>静态回收期不能早于累计现金流转正</t>
  </si>
  <si>
    <t>若M累计现金流&lt;0，回收期必须显示未回收</t>
  </si>
  <si>
    <t>若错误，说明回收期引用了错误行</t>
  </si>
  <si>
    <t>检查回收期公式引用累计现金流行</t>
  </si>
  <si>
    <t>计算逻辑说明｜修正版</t>
  </si>
  <si>
    <t>重点：将“业主视角”和“服务商视角”分开；将“收入、成本、节省”分开；不把成本写成负数再与收入相加。</t>
  </si>
  <si>
    <t>公式</t>
  </si>
  <si>
    <t>对应工作表</t>
  </si>
  <si>
    <t>常见错误</t>
  </si>
  <si>
    <t>可调整项</t>
  </si>
  <si>
    <t>灯具数量×单灯功率÷1000×每日亮灯小时×年运行天数</t>
  </si>
  <si>
    <t>将每盏灯功率转换为kW后乘以全年运行小时。</t>
  </si>
  <si>
    <t>03_Baseline</t>
  </si>
  <si>
    <t>只用灯数但漏掉功率/时长，会导致电费无意义。</t>
  </si>
  <si>
    <t>灯具数量、功率、亮灯小时</t>
  </si>
  <si>
    <t>不改造情形的电费基准。</t>
  </si>
  <si>
    <t>把节电后的电费用作基准，会高估节省。</t>
  </si>
  <si>
    <t>不改造情形的运维基准。</t>
  </si>
  <si>
    <t>把服务商运维成本和业主现状运维费混用。</t>
  </si>
  <si>
    <t>基准电费×(1−综合节电率)</t>
  </si>
  <si>
    <t>先计算物理电费，再按承担方开关分配。</t>
  </si>
  <si>
    <t>04_Mode_Params / 05_Annual_Model</t>
  </si>
  <si>
    <t>没有区分“电费由谁付”，会导致业主/服务商双算或漏算。</t>
  </si>
  <si>
    <t>节电率、承担电费开关</t>
  </si>
  <si>
    <t>服务商年度收入</t>
  </si>
  <si>
    <t>服务费/订阅费+其他/第三方收入+资产转让收入</t>
  </si>
  <si>
    <t>服务商收入项。默认第三方收入不计入业主支出。</t>
  </si>
  <si>
    <t>05_Annual_Model</t>
  </si>
  <si>
    <t>把第三方收入也算成业主支出，导致业主侧多算。</t>
  </si>
  <si>
    <t>年费、其他收入、资产转让</t>
  </si>
  <si>
    <t>服务商年度现金成本</t>
  </si>
  <si>
    <t>CAPEX+服务商电费成本+运维成本+平台成本+备件储备</t>
  </si>
  <si>
    <t>所有成本均按正数列示，净现金流公式中扣减。</t>
  </si>
  <si>
    <t>成本用负数列示又在净现金流中扣减，会双重扣减。</t>
  </si>
  <si>
    <t>CAPEX、运维、平台、备件</t>
  </si>
  <si>
    <t>服务商年度净现金流</t>
  </si>
  <si>
    <t>年度总收入−年度总现金成本</t>
  </si>
  <si>
    <t>Y0通常为−CAPEX，Y1-Y10为经营现金流。</t>
  </si>
  <si>
    <t>写成服务收入+运维成本+平台成本。</t>
  </si>
  <si>
    <t>所有收入成本项</t>
  </si>
  <si>
    <t>业主支付电费+服务费/订阅费+业主保留管理成本</t>
  </si>
  <si>
    <t>服务费是业主支出，不是业主收益。</t>
  </si>
  <si>
    <t>把服务商收入当成业主节省，或把服务商成本加给业主。</t>
  </si>
  <si>
    <t>年费、电费承担方、保留管理成本</t>
  </si>
  <si>
    <t>业主净节省</t>
  </si>
  <si>
    <t>不改造基准总成本−业主年度总支出</t>
  </si>
  <si>
    <t>判断业主是否有采用模式的经济理由。</t>
  </si>
  <si>
    <t>只看节电金额，不扣服务费，会高估业主收益。</t>
  </si>
  <si>
    <t>节电率、年费</t>
  </si>
  <si>
    <t>NPV(折现率,Y1:Y10现金流)+Y0现金流</t>
  </si>
  <si>
    <t>判断服务商是否达到资金成本要求。</t>
  </si>
  <si>
    <t>只看静态回收而忽略资金时间价值。</t>
  </si>
  <si>
    <t>折现率、合同期</t>
  </si>
  <si>
    <t>IRR(Y0:Y10现金流)</t>
  </si>
  <si>
    <t>判断服务商项目内部收益率。</t>
  </si>
  <si>
    <t>现金流长期为负时，IRR没有经营决策意义。</t>
  </si>
  <si>
    <t>年费、CAPEX、成本</t>
  </si>
  <si>
    <t>CAPEX年金化+年度现金成本−其他收入</t>
  </si>
  <si>
    <t>反推服务商达到折现率要求的最低年费。</t>
  </si>
  <si>
    <t>06_Sensitivity</t>
  </si>
  <si>
    <t>把这个数当作业主可接受价格；它只是服务商底线。</t>
  </si>
  <si>
    <t>CAPEX、折现率、成本、其他收入</t>
  </si>
  <si>
    <t>术语与口径说明</t>
  </si>
  <si>
    <t>术语</t>
  </si>
  <si>
    <t>中文解释</t>
  </si>
  <si>
    <t>模型口径</t>
  </si>
  <si>
    <t>容易混淆点</t>
  </si>
  <si>
    <t>建议使用场景</t>
  </si>
  <si>
    <t>服务商或第三方通过节能改造与管理获得服务费或节能收益。</t>
  </si>
  <si>
    <t>本模型以固定服务费为主，可叠加第三方收入、资产转让收入。</t>
  </si>
  <si>
    <t>节电收益不一定归服务商，必须看电费承担方和合同分配。</t>
  </si>
  <si>
    <t>政府/业主关注节能指标、费用不增加时。</t>
  </si>
  <si>
    <t>Lighting as a Service，强调照明能力、平台、升级、运维的一体化订阅。</t>
  </si>
  <si>
    <t>本模型以订阅费为主，CAPEX和平台升级成本通常高于普通托管。</t>
  </si>
  <si>
    <t>不是传统租赁，不只是设备使用权，还包含持续升级和服务。</t>
  </si>
  <si>
    <t>需要打包功能迭代、AI调光、数字运维时。</t>
  </si>
  <si>
    <t>业主每年愿意/能够支付给服务商的预算。</t>
  </si>
  <si>
    <t>在模型中是业主支出、服务商收入。</t>
  </si>
  <si>
    <t>不能把它同时当作业主投资收益。</t>
  </si>
  <si>
    <t>看项目付费能力。</t>
  </si>
  <si>
    <t>CAPEX</t>
  </si>
  <si>
    <t>资本性支出，项目初始建设投入。</t>
  </si>
  <si>
    <t>按每盏灯CAPEX×灯具数量计算，在Y0扣减。</t>
  </si>
  <si>
    <t>不要把CAPEX摊销当现金流；现金流看真实资金流出。</t>
  </si>
  <si>
    <t>测算服务商投资压力。</t>
  </si>
  <si>
    <t>年度净经营现金流</t>
  </si>
  <si>
    <t>不含初始CAPEX的年度经营净流入。</t>
  </si>
  <si>
    <t>年度收入−年度现金成本。</t>
  </si>
  <si>
    <t>如果成本行是正数，公式必须是减法。</t>
  </si>
  <si>
    <t>看每年经营是否赚钱。</t>
  </si>
  <si>
    <t>某一年全部现金流入减全部现金流出。</t>
  </si>
  <si>
    <t>不要把成本当收入相加。</t>
  </si>
  <si>
    <t>看累计回收和IRR/NPV。</t>
  </si>
  <si>
    <t>业主采用模式后相对不改造省下的钱。</t>
  </si>
  <si>
    <t>基准总成本−改造后业主总支出。</t>
  </si>
  <si>
    <t>只看节电金额不扣服务费，会高估业主收益。</t>
  </si>
  <si>
    <t>判断政府/业主是否接受。</t>
  </si>
  <si>
    <t>净现值。</t>
  </si>
  <si>
    <t>未来现金流按折现率折回后加总。</t>
  </si>
  <si>
    <t>NPV为正才说明达到折现率要求。</t>
  </si>
  <si>
    <t>服务商投资决策。</t>
  </si>
  <si>
    <t>内部收益率。</t>
  </si>
  <si>
    <t>使项目NPV为0的收益率。</t>
  </si>
  <si>
    <t>现金流未回正时解释力有限。</t>
  </si>
  <si>
    <t>服务商投资回报比较。</t>
  </si>
  <si>
    <t>累计现金流转正所需年份。</t>
  </si>
  <si>
    <t>累计现金流首次≥0的年份。</t>
  </si>
  <si>
    <t>不考虑资金时间价值。</t>
  </si>
  <si>
    <t>对外沟通直观，但不能替代NPV。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</si>
</sst>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\¥#,##0;[Red]\(\¥#,##0\);\-"/>
    <numFmt numFmtId="179" formatCode="0.0%;[Red]\(0.0%\);\-"/>
    <numFmt numFmtId="180" formatCode="#,##0;[Red]\(#,##0\);\-"/>
    <numFmt numFmtId="181" formatCode="0.00;[Red]\(0.00\);\-"/>
  </numFmts>
  <fonts count="29">
    <font>
      <sz val="11"/>
      <name val="Carlito"/>
      <charset val="134"/>
    </font>
    <font>
      <b/>
      <sz val="16"/>
      <color rgb="FF111827"/>
      <name val="Arial"/>
      <charset val="134"/>
    </font>
    <font>
      <sz val="10"/>
      <color rgb="FF111827"/>
      <name val="Arial"/>
      <charset val="134"/>
    </font>
    <font>
      <sz val="10"/>
      <color rgb="FF6B7280"/>
      <name val="Arial"/>
      <charset val="134"/>
    </font>
    <font>
      <b/>
      <sz val="10"/>
      <color rgb="FF111827"/>
      <name val="Arial"/>
      <charset val="134"/>
    </font>
    <font>
      <b/>
      <sz val="11"/>
      <color rgb="FF111827"/>
      <name val="Arial"/>
      <charset val="134"/>
    </font>
    <font>
      <sz val="10"/>
      <color rgb="FF000000"/>
      <name val="Arial"/>
      <charset val="134"/>
    </font>
    <font>
      <sz val="10"/>
      <color rgb="FF0000FF"/>
      <name val="Arial"/>
      <charset val="134"/>
    </font>
    <font>
      <b/>
      <sz val="10"/>
      <color rgb="FF0000FF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E8F0F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7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9" borderId="8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10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49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178" fontId="2" fillId="0" borderId="1" xfId="0" applyNumberFormat="1" applyFont="1" applyBorder="1" applyAlignment="1">
      <alignment vertical="center"/>
    </xf>
    <xf numFmtId="0" fontId="0" fillId="0" borderId="1" xfId="0" applyBorder="1"/>
    <xf numFmtId="179" fontId="0" fillId="0" borderId="1" xfId="0" applyNumberFormat="1" applyBorder="1"/>
    <xf numFmtId="178" fontId="0" fillId="0" borderId="1" xfId="0" applyNumberFormat="1" applyBorder="1"/>
    <xf numFmtId="0" fontId="5" fillId="5" borderId="1" xfId="0" applyFont="1" applyFill="1" applyBorder="1" applyAlignment="1">
      <alignment horizontal="left" vertical="center"/>
    </xf>
    <xf numFmtId="178" fontId="5" fillId="5" borderId="1" xfId="0" applyNumberFormat="1" applyFont="1" applyFill="1" applyBorder="1" applyAlignment="1">
      <alignment horizontal="left" vertical="center"/>
    </xf>
    <xf numFmtId="178" fontId="6" fillId="0" borderId="1" xfId="0" applyNumberFormat="1" applyFont="1" applyBorder="1" applyAlignment="1">
      <alignment vertical="center"/>
    </xf>
    <xf numFmtId="0" fontId="4" fillId="6" borderId="1" xfId="0" applyFont="1" applyFill="1" applyBorder="1" applyAlignment="1">
      <alignment vertical="center"/>
    </xf>
    <xf numFmtId="178" fontId="4" fillId="6" borderId="1" xfId="0" applyNumberFormat="1" applyFont="1" applyFill="1" applyBorder="1" applyAlignment="1">
      <alignment vertical="center"/>
    </xf>
    <xf numFmtId="178" fontId="2" fillId="4" borderId="1" xfId="0" applyNumberFormat="1" applyFont="1" applyFill="1" applyBorder="1" applyAlignment="1">
      <alignment vertical="center"/>
    </xf>
    <xf numFmtId="10" fontId="2" fillId="4" borderId="1" xfId="0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/>
    </xf>
    <xf numFmtId="179" fontId="2" fillId="4" borderId="1" xfId="0" applyNumberFormat="1" applyFont="1" applyFill="1" applyBorder="1" applyAlignment="1">
      <alignment vertical="center"/>
    </xf>
    <xf numFmtId="1" fontId="2" fillId="4" borderId="1" xfId="0" applyNumberFormat="1" applyFont="1" applyFill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179" fontId="6" fillId="0" borderId="1" xfId="0" applyNumberFormat="1" applyFont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178" fontId="6" fillId="6" borderId="1" xfId="0" applyNumberFormat="1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179" fontId="6" fillId="6" borderId="1" xfId="0" applyNumberFormat="1" applyFont="1" applyFill="1" applyBorder="1" applyAlignment="1">
      <alignment vertical="center"/>
    </xf>
    <xf numFmtId="180" fontId="6" fillId="0" borderId="1" xfId="0" applyNumberFormat="1" applyFont="1" applyBorder="1" applyAlignment="1">
      <alignment vertical="center" wrapText="1"/>
    </xf>
    <xf numFmtId="181" fontId="6" fillId="0" borderId="1" xfId="0" applyNumberFormat="1" applyFont="1" applyBorder="1" applyAlignment="1">
      <alignment vertical="center" wrapText="1"/>
    </xf>
    <xf numFmtId="178" fontId="6" fillId="0" borderId="1" xfId="0" applyNumberFormat="1" applyFont="1" applyBorder="1" applyAlignment="1">
      <alignment vertical="center" wrapText="1"/>
    </xf>
    <xf numFmtId="178" fontId="6" fillId="6" borderId="1" xfId="0" applyNumberFormat="1" applyFont="1" applyFill="1" applyBorder="1" applyAlignment="1">
      <alignment vertical="center" wrapText="1"/>
    </xf>
    <xf numFmtId="180" fontId="7" fillId="0" borderId="1" xfId="0" applyNumberFormat="1" applyFont="1" applyBorder="1" applyAlignment="1">
      <alignment vertical="center"/>
    </xf>
    <xf numFmtId="178" fontId="7" fillId="0" borderId="1" xfId="0" applyNumberFormat="1" applyFont="1" applyBorder="1" applyAlignment="1">
      <alignment vertical="center"/>
    </xf>
    <xf numFmtId="181" fontId="7" fillId="0" borderId="1" xfId="0" applyNumberFormat="1" applyFont="1" applyBorder="1" applyAlignment="1">
      <alignment vertical="center"/>
    </xf>
    <xf numFmtId="179" fontId="7" fillId="0" borderId="1" xfId="0" applyNumberFormat="1" applyFont="1" applyBorder="1" applyAlignment="1">
      <alignment vertical="center"/>
    </xf>
    <xf numFmtId="178" fontId="8" fillId="5" borderId="1" xfId="0" applyNumberFormat="1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180" fontId="0" fillId="0" borderId="1" xfId="0" applyNumberFormat="1" applyBorder="1"/>
    <xf numFmtId="0" fontId="5" fillId="5" borderId="0" xfId="0" applyFont="1" applyFill="1" applyAlignment="1">
      <alignment horizontal="left" vertical="center"/>
    </xf>
    <xf numFmtId="0" fontId="4" fillId="3" borderId="0" xfId="0" applyFont="1" applyFill="1" applyAlignment="1">
      <alignment horizontal="center" vertical="center" wrapText="1"/>
    </xf>
    <xf numFmtId="10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181" fontId="0" fillId="0" borderId="1" xfId="0" applyNumberFormat="1" applyBorder="1"/>
    <xf numFmtId="180" fontId="6" fillId="0" borderId="1" xfId="0" applyNumberFormat="1" applyFont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5"/>
  <sheetViews>
    <sheetView topLeftCell="A26" workbookViewId="0">
      <selection activeCell="A1" sqref="A1:I1"/>
    </sheetView>
  </sheetViews>
  <sheetFormatPr defaultColWidth="9" defaultRowHeight="16.8"/>
  <cols>
    <col min="1" max="1" width="22" customWidth="1"/>
    <col min="2" max="2" width="28" customWidth="1"/>
    <col min="3" max="5" width="18" customWidth="1"/>
    <col min="6" max="6" width="20" customWidth="1"/>
    <col min="7" max="7" width="26" customWidth="1"/>
    <col min="8" max="8" width="50" customWidth="1"/>
    <col min="9" max="9" width="8" customWidth="1"/>
  </cols>
  <sheetData>
    <row r="1" ht="26" customHeight="1" spans="1:26">
      <c r="A1" s="1" t="s">
        <v>0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 t="s">
        <v>1</v>
      </c>
    </row>
    <row r="4" spans="1:26">
      <c r="A4" s="42" t="s">
        <v>2</v>
      </c>
    </row>
    <row r="5" spans="1:26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</row>
    <row r="6" spans="1:26">
      <c r="A6" s="10" t="s">
        <v>8</v>
      </c>
      <c r="B6" s="10" t="s">
        <v>9</v>
      </c>
      <c r="C6" s="41">
        <f>'03_Baseline'!D5</f>
        <v>5000</v>
      </c>
      <c r="D6" s="10" t="s">
        <v>10</v>
      </c>
      <c r="E6" s="10"/>
      <c r="F6" s="10"/>
      <c r="G6" s="10"/>
      <c r="H6" s="10"/>
      <c r="I6" s="10"/>
    </row>
    <row r="7" spans="1:26">
      <c r="A7" s="10" t="s">
        <v>11</v>
      </c>
      <c r="B7" s="10" t="s">
        <v>12</v>
      </c>
      <c r="C7" s="47">
        <f>'03_Baseline'!D11</f>
        <v>0.5</v>
      </c>
      <c r="D7" s="10" t="s">
        <v>10</v>
      </c>
      <c r="E7" s="10"/>
      <c r="F7" s="10"/>
      <c r="G7" s="10"/>
      <c r="H7" s="10"/>
      <c r="I7" s="10"/>
    </row>
    <row r="8" spans="1:26">
      <c r="A8" s="10" t="s">
        <v>13</v>
      </c>
      <c r="B8" s="10" t="s">
        <v>14</v>
      </c>
      <c r="C8" s="12">
        <f>'03_Baseline'!D12</f>
        <v>2056000</v>
      </c>
      <c r="D8" s="10" t="s">
        <v>10</v>
      </c>
      <c r="E8" s="10"/>
      <c r="F8" s="10"/>
      <c r="G8" s="10"/>
      <c r="H8" s="10"/>
      <c r="I8" s="10"/>
    </row>
    <row r="9" spans="1:26">
      <c r="A9" s="10" t="s">
        <v>15</v>
      </c>
      <c r="B9" s="10" t="s">
        <v>14</v>
      </c>
      <c r="C9" s="12">
        <f>'03_Baseline'!D14</f>
        <v>610000</v>
      </c>
      <c r="D9" s="10" t="s">
        <v>10</v>
      </c>
      <c r="E9" s="10"/>
      <c r="F9" s="10"/>
      <c r="G9" s="10"/>
      <c r="H9" s="10"/>
      <c r="I9" s="10"/>
    </row>
    <row r="10" spans="1:26">
      <c r="A10" s="10" t="s">
        <v>16</v>
      </c>
      <c r="B10" s="10" t="s">
        <v>14</v>
      </c>
      <c r="C10" s="12">
        <f>'03_Baseline'!D16</f>
        <v>2342300</v>
      </c>
      <c r="D10" s="10" t="s">
        <v>17</v>
      </c>
      <c r="E10" s="10"/>
      <c r="F10" s="10"/>
      <c r="G10" s="10"/>
      <c r="H10" s="10"/>
      <c r="I10" s="10"/>
    </row>
    <row r="11" spans="1:26">
      <c r="A11" s="10" t="s">
        <v>18</v>
      </c>
      <c r="B11" s="10" t="s">
        <v>19</v>
      </c>
      <c r="C11" s="10" t="b">
        <f>'04_Mode_Params'!C6='04_Mode_Params'!D6</f>
        <v>0</v>
      </c>
      <c r="D11" s="10" t="s">
        <v>20</v>
      </c>
      <c r="E11" s="10"/>
      <c r="F11" s="10"/>
      <c r="G11" s="10"/>
      <c r="H11" s="10"/>
      <c r="I11" s="10"/>
    </row>
    <row r="13" spans="1:26">
      <c r="A13" s="42" t="s">
        <v>21</v>
      </c>
    </row>
    <row r="14" spans="1:26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6</v>
      </c>
      <c r="I14" s="4" t="s">
        <v>7</v>
      </c>
    </row>
    <row r="15" spans="1:26">
      <c r="A15" s="5" t="s">
        <v>29</v>
      </c>
      <c r="B15" s="5" t="s">
        <v>30</v>
      </c>
      <c r="C15" s="24">
        <f>'04_Mode_Params'!C8</f>
        <v>0.5</v>
      </c>
      <c r="D15" s="24">
        <f>'04_Mode_Params'!D8</f>
        <v>0.85</v>
      </c>
      <c r="E15" s="24">
        <f>D15-C15</f>
        <v>0.35</v>
      </c>
      <c r="F15" s="5" t="s">
        <v>31</v>
      </c>
      <c r="G15" s="46" t="str">
        <f>IF(E15&gt;0,"LaaS更优","未体现优势")</f>
        <v>LaaS更优</v>
      </c>
      <c r="H15" s="6" t="s">
        <v>32</v>
      </c>
      <c r="I15" s="5"/>
    </row>
    <row r="16" spans="1:26">
      <c r="A16" s="5" t="s">
        <v>33</v>
      </c>
      <c r="B16" s="5" t="s">
        <v>34</v>
      </c>
      <c r="C16" s="48">
        <f>'03_Baseline'!D10*'04_Mode_Params'!C8</f>
        <v>2056000</v>
      </c>
      <c r="D16" s="48">
        <f>'03_Baseline'!D10*'04_Mode_Params'!D8</f>
        <v>3495200</v>
      </c>
      <c r="E16" s="48">
        <f>D16-C16</f>
        <v>1439200</v>
      </c>
      <c r="F16" s="5" t="s">
        <v>31</v>
      </c>
      <c r="G16" s="46" t="str">
        <f>IF(E16&gt;0,"LaaS更优","未体现优势")</f>
        <v>LaaS更优</v>
      </c>
      <c r="H16" s="6" t="s">
        <v>35</v>
      </c>
      <c r="I16" s="5"/>
    </row>
    <row r="17" ht="31" spans="1:9">
      <c r="A17" s="5" t="s">
        <v>36</v>
      </c>
      <c r="B17" s="5" t="s">
        <v>37</v>
      </c>
      <c r="C17" s="48">
        <f>'03_Baseline'!D12-'04_Mode_Params'!C9</f>
        <v>1028000</v>
      </c>
      <c r="D17" s="48">
        <f>'03_Baseline'!D12-'04_Mode_Params'!D9</f>
        <v>1747600</v>
      </c>
      <c r="E17" s="48">
        <f>D17-C17</f>
        <v>719600</v>
      </c>
      <c r="F17" s="5" t="s">
        <v>31</v>
      </c>
      <c r="G17" s="46" t="str">
        <f>IF(E17&gt;0,"LaaS更优","未体现优势")</f>
        <v>LaaS更优</v>
      </c>
      <c r="H17" s="6" t="s">
        <v>38</v>
      </c>
      <c r="I17" s="5"/>
    </row>
    <row r="18" spans="1:9">
      <c r="A18" s="5" t="s">
        <v>39</v>
      </c>
      <c r="B18" s="5" t="s">
        <v>40</v>
      </c>
      <c r="C18" s="15">
        <f>'04_Mode_Params'!C19</f>
        <v>2663056</v>
      </c>
      <c r="D18" s="15">
        <f>'04_Mode_Params'!D19</f>
        <v>2658400</v>
      </c>
      <c r="E18" s="15">
        <f>C18-D18</f>
        <v>4656</v>
      </c>
      <c r="F18" s="5" t="s">
        <v>41</v>
      </c>
      <c r="G18" s="46" t="str">
        <f>IF(E18&gt;0,"LaaS让业主少支出",IF(E18&lt;0,"LaaS让业主多支出","相同"))</f>
        <v>LaaS让业主少支出</v>
      </c>
      <c r="H18" s="6" t="s">
        <v>42</v>
      </c>
      <c r="I18" s="5"/>
    </row>
    <row r="19" spans="1:9">
      <c r="A19" s="5" t="s">
        <v>43</v>
      </c>
      <c r="B19" s="5" t="s">
        <v>37</v>
      </c>
      <c r="C19" s="15">
        <f>'04_Mode_Params'!C20</f>
        <v>2944</v>
      </c>
      <c r="D19" s="15">
        <f>'04_Mode_Params'!D20</f>
        <v>7600</v>
      </c>
      <c r="E19" s="15">
        <f>D19-C19</f>
        <v>4656</v>
      </c>
      <c r="F19" s="5" t="s">
        <v>41</v>
      </c>
      <c r="G19" s="46" t="str">
        <f>IF(E19&gt;0,"LaaS让业主多节省",IF(E19&lt;0,"能源托管更多节省","相同"))</f>
        <v>LaaS让业主多节省</v>
      </c>
      <c r="H19" s="6" t="s">
        <v>44</v>
      </c>
      <c r="I19" s="5"/>
    </row>
    <row r="20" ht="31" spans="1:9">
      <c r="A20" s="5" t="s">
        <v>45</v>
      </c>
      <c r="B20" s="5" t="s">
        <v>37</v>
      </c>
      <c r="C20" s="15">
        <f>'04_Mode_Params'!C16</f>
        <v>1635056</v>
      </c>
      <c r="D20" s="15">
        <f>'04_Mode_Params'!D16</f>
        <v>2350000</v>
      </c>
      <c r="E20" s="15">
        <f>D20-C20</f>
        <v>714944</v>
      </c>
      <c r="F20" s="5" t="s">
        <v>46</v>
      </c>
      <c r="G20" s="46" t="str">
        <f>IF(E20&gt;0,"LaaS收入更高",IF(E20&lt;0,"能源托管收入更高","相同"))</f>
        <v>LaaS收入更高</v>
      </c>
      <c r="H20" s="6" t="s">
        <v>47</v>
      </c>
      <c r="I20" s="5"/>
    </row>
    <row r="21" spans="1:9">
      <c r="A21" s="5" t="s">
        <v>48</v>
      </c>
      <c r="B21" s="5" t="s">
        <v>40</v>
      </c>
      <c r="C21" s="15">
        <f>'04_Mode_Params'!C17</f>
        <v>610000</v>
      </c>
      <c r="D21" s="15">
        <f>'04_Mode_Params'!D17</f>
        <v>764200</v>
      </c>
      <c r="E21" s="15">
        <f>C21-D21</f>
        <v>-154200</v>
      </c>
      <c r="F21" s="5" t="s">
        <v>46</v>
      </c>
      <c r="G21" s="46" t="str">
        <f>IF(E21&gt;0,"LaaS成本更低",IF(E21&lt;0,"LaaS成本更高","相同"))</f>
        <v>LaaS成本更高</v>
      </c>
      <c r="H21" s="6" t="s">
        <v>49</v>
      </c>
      <c r="I21" s="5"/>
    </row>
    <row r="22" spans="1:9">
      <c r="A22" s="5" t="s">
        <v>50</v>
      </c>
      <c r="B22" s="5" t="s">
        <v>40</v>
      </c>
      <c r="C22" s="15">
        <f>'04_Mode_Params'!C13</f>
        <v>406666.666666667</v>
      </c>
      <c r="D22" s="15">
        <f>'04_Mode_Params'!D13</f>
        <v>286575</v>
      </c>
      <c r="E22" s="15">
        <f>C22-D22</f>
        <v>120091.666666667</v>
      </c>
      <c r="F22" s="5" t="s">
        <v>46</v>
      </c>
      <c r="G22" s="46" t="str">
        <f>IF(E22&gt;0,"LaaS运维省钱",IF(E22&lt;0,"LaaS运维更贵","相同"))</f>
        <v>LaaS运维省钱</v>
      </c>
      <c r="H22" s="6" t="s">
        <v>51</v>
      </c>
      <c r="I22" s="5"/>
    </row>
    <row r="23" spans="1:9">
      <c r="A23" s="5" t="s">
        <v>52</v>
      </c>
      <c r="B23" s="5" t="s">
        <v>40</v>
      </c>
      <c r="C23" s="15">
        <f>'04_Mode_Params'!C14+'04_Mode_Params'!C15</f>
        <v>203333.333333333</v>
      </c>
      <c r="D23" s="15">
        <f>'04_Mode_Params'!D14+'04_Mode_Params'!D15</f>
        <v>477625</v>
      </c>
      <c r="E23" s="15">
        <f>C23-D23</f>
        <v>-274291.666666667</v>
      </c>
      <c r="F23" s="5" t="s">
        <v>46</v>
      </c>
      <c r="G23" s="46" t="str">
        <f>IF(E23&gt;0,"LaaS平台/升级成本更低",IF(E23&lt;0,"LaaS平台/升级成本更高","相同"))</f>
        <v>LaaS平台/升级成本更高</v>
      </c>
      <c r="H23" s="6" t="s">
        <v>53</v>
      </c>
      <c r="I23" s="5"/>
    </row>
    <row r="24" spans="1:9">
      <c r="A24" s="5" t="s">
        <v>54</v>
      </c>
      <c r="B24" s="5" t="s">
        <v>37</v>
      </c>
      <c r="C24" s="15">
        <f>'04_Mode_Params'!C18</f>
        <v>1025056</v>
      </c>
      <c r="D24" s="15">
        <f>'04_Mode_Params'!D18</f>
        <v>1585800</v>
      </c>
      <c r="E24" s="15">
        <f>D24-C24</f>
        <v>560744</v>
      </c>
      <c r="F24" s="5" t="s">
        <v>46</v>
      </c>
      <c r="G24" s="46" t="str">
        <f>IF(E24&gt;0,"LaaS经营现金流更高",IF(E24&lt;0,"能源托管经营现金流更高","相同"))</f>
        <v>LaaS经营现金流更高</v>
      </c>
      <c r="H24" s="6" t="s">
        <v>55</v>
      </c>
      <c r="I24" s="5"/>
    </row>
    <row r="25" spans="1:9">
      <c r="A25" s="5" t="s">
        <v>56</v>
      </c>
      <c r="B25" s="5" t="s">
        <v>57</v>
      </c>
      <c r="C25" s="15">
        <f>'04_Mode_Params'!C5</f>
        <v>3539400</v>
      </c>
      <c r="D25" s="15">
        <f>'04_Mode_Params'!D5</f>
        <v>3539400</v>
      </c>
      <c r="E25" s="15">
        <f>C25-D25</f>
        <v>0</v>
      </c>
      <c r="F25" s="5" t="s">
        <v>58</v>
      </c>
      <c r="G25" s="46" t="str">
        <f>IF(E25&gt;0,"LaaS初始投资更低",IF(E25&lt;0,"LaaS初始投资更高","相同"))</f>
        <v>相同</v>
      </c>
      <c r="H25" s="6" t="s">
        <v>59</v>
      </c>
      <c r="I25" s="5"/>
    </row>
    <row r="26" spans="1:9">
      <c r="A26" s="5" t="s">
        <v>60</v>
      </c>
      <c r="B26" s="5" t="s">
        <v>61</v>
      </c>
      <c r="C26" s="15">
        <f>'05_Annual_Model'!M24</f>
        <v>6711160</v>
      </c>
      <c r="D26" s="15">
        <f>'05_Annual_Model'!M51</f>
        <v>12318600</v>
      </c>
      <c r="E26" s="15">
        <f>D26-C26</f>
        <v>5607440</v>
      </c>
      <c r="F26" s="5" t="s">
        <v>58</v>
      </c>
      <c r="G26" s="46" t="str">
        <f>IF(E26&gt;0,"LaaS累计现金流更好",IF(E26&lt;0,"能源托管累计现金流更好","相同"))</f>
        <v>LaaS累计现金流更好</v>
      </c>
      <c r="H26" s="6" t="s">
        <v>62</v>
      </c>
      <c r="I26" s="5"/>
    </row>
    <row r="27" spans="1:9">
      <c r="A27" s="5" t="s">
        <v>63</v>
      </c>
      <c r="B27" s="5" t="s">
        <v>61</v>
      </c>
      <c r="C27" s="15">
        <f>'05_Annual_Model'!C25</f>
        <v>2252395.01661072</v>
      </c>
      <c r="D27" s="15">
        <f>'05_Annual_Model'!C52</f>
        <v>5420723.67845395</v>
      </c>
      <c r="E27" s="15">
        <f>D27-C27</f>
        <v>3168328.66184322</v>
      </c>
      <c r="F27" s="5" t="s">
        <v>58</v>
      </c>
      <c r="G27" s="46" t="str">
        <f>IF(E27&gt;0,"LaaS NPV更好",IF(E27&lt;0,"能源托管NPV更好","相同"))</f>
        <v>LaaS NPV更好</v>
      </c>
      <c r="H27" s="6" t="s">
        <v>64</v>
      </c>
      <c r="I27" s="5"/>
    </row>
    <row r="28" spans="1:9">
      <c r="A28" s="5" t="s">
        <v>65</v>
      </c>
      <c r="B28" s="5" t="s">
        <v>66</v>
      </c>
      <c r="C28" s="24">
        <f>'05_Annual_Model'!C26</f>
        <v>0.261160922929116</v>
      </c>
      <c r="D28" s="24">
        <f>'05_Annual_Model'!C53</f>
        <v>0.436027982587965</v>
      </c>
      <c r="E28" s="24">
        <f>D28-C28</f>
        <v>0.174867059658849</v>
      </c>
      <c r="F28" s="5" t="s">
        <v>58</v>
      </c>
      <c r="G28" s="46" t="str">
        <f>IF(E28&gt;0,"LaaS IRR更高",IF(E28&lt;0,"能源托管IRR更高","相同"))</f>
        <v>LaaS IRR更高</v>
      </c>
      <c r="H28" s="6" t="s">
        <v>67</v>
      </c>
      <c r="I28" s="5"/>
    </row>
    <row r="29" spans="1:9">
      <c r="A29" s="5" t="s">
        <v>68</v>
      </c>
      <c r="B29" s="5" t="s">
        <v>40</v>
      </c>
      <c r="C29" s="15">
        <f>'06_Sensitivity'!C5</f>
        <v>1236417.75062735</v>
      </c>
      <c r="D29" s="15">
        <f>'06_Sensitivity'!C6</f>
        <v>1390617.75062735</v>
      </c>
      <c r="E29" s="15">
        <f>C29-D29</f>
        <v>-154200</v>
      </c>
      <c r="F29" s="5" t="s">
        <v>69</v>
      </c>
      <c r="G29" s="46" t="str">
        <f>IF(E29&gt;0,"LaaS所需年费更低",IF(E29&lt;0,"LaaS所需年费更高","相同"))</f>
        <v>LaaS所需年费更高</v>
      </c>
      <c r="H29" s="6" t="s">
        <v>70</v>
      </c>
      <c r="I29" s="5"/>
    </row>
    <row r="31" spans="1:9">
      <c r="A31" s="42" t="s">
        <v>71</v>
      </c>
    </row>
    <row r="32" spans="1:9">
      <c r="A32" s="46" t="s">
        <v>72</v>
      </c>
      <c r="B32" s="6"/>
      <c r="C32" s="39"/>
      <c r="D32" s="39"/>
      <c r="E32" s="39"/>
      <c r="F32" s="39"/>
      <c r="G32" s="39"/>
      <c r="H32" s="39"/>
      <c r="I32" s="40"/>
    </row>
    <row r="33" spans="1:9">
      <c r="A33" s="46" t="s">
        <v>7</v>
      </c>
      <c r="B33" s="6" t="s">
        <v>73</v>
      </c>
      <c r="C33" s="39"/>
      <c r="D33" s="39"/>
      <c r="E33" s="39"/>
      <c r="F33" s="39"/>
      <c r="G33" s="39"/>
      <c r="H33" s="39"/>
      <c r="I33" s="40"/>
    </row>
    <row r="34" spans="1:9">
      <c r="A34" s="46" t="s">
        <v>74</v>
      </c>
      <c r="B34" s="6"/>
      <c r="C34" s="39"/>
      <c r="D34" s="39"/>
      <c r="E34" s="39"/>
      <c r="F34" s="39"/>
      <c r="G34" s="39"/>
      <c r="H34" s="39"/>
      <c r="I34" s="40"/>
    </row>
    <row r="35" spans="1:9">
      <c r="A35" s="46" t="s">
        <v>7</v>
      </c>
      <c r="B35" s="6" t="s">
        <v>75</v>
      </c>
      <c r="C35" s="39"/>
      <c r="D35" s="39"/>
      <c r="E35" s="39"/>
      <c r="F35" s="39"/>
      <c r="G35" s="39"/>
      <c r="H35" s="39"/>
      <c r="I35" s="40"/>
    </row>
  </sheetData>
  <mergeCells count="9">
    <mergeCell ref="A1:I1"/>
    <mergeCell ref="A2:I2"/>
    <mergeCell ref="A4:I4"/>
    <mergeCell ref="A13:I13"/>
    <mergeCell ref="A31:I31"/>
    <mergeCell ref="B32:I32"/>
    <mergeCell ref="B33:I33"/>
    <mergeCell ref="B34:I34"/>
    <mergeCell ref="B35:I3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2"/>
  <sheetViews>
    <sheetView workbookViewId="0">
      <selection activeCell="A1" sqref="A1:J1"/>
    </sheetView>
  </sheetViews>
  <sheetFormatPr defaultColWidth="9" defaultRowHeight="16.8"/>
  <cols>
    <col min="1" max="1" width="8" customWidth="1"/>
    <col min="2" max="5" width="18" customWidth="1"/>
    <col min="6" max="6" width="24" customWidth="1"/>
    <col min="7" max="7" width="50" customWidth="1"/>
    <col min="8" max="10" width="8" customWidth="1"/>
  </cols>
  <sheetData>
    <row r="1" ht="26" customHeight="1" spans="1:26">
      <c r="A1" s="1" t="s">
        <v>76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 t="s">
        <v>77</v>
      </c>
    </row>
    <row r="4" spans="1:26">
      <c r="A4" s="13" t="s">
        <v>78</v>
      </c>
      <c r="B4" s="39"/>
      <c r="C4" s="39"/>
      <c r="D4" s="40"/>
    </row>
    <row r="5" spans="1:26">
      <c r="A5" s="10" t="s">
        <v>8</v>
      </c>
      <c r="B5" s="10" t="s">
        <v>9</v>
      </c>
      <c r="C5" s="41">
        <f>'03_Baseline'!D5</f>
        <v>5000</v>
      </c>
      <c r="D5" s="10" t="s">
        <v>7</v>
      </c>
    </row>
    <row r="6" spans="1:26">
      <c r="A6" s="10" t="s">
        <v>13</v>
      </c>
      <c r="B6" s="10" t="s">
        <v>14</v>
      </c>
      <c r="C6" s="12">
        <f>'03_Baseline'!D12</f>
        <v>2056000</v>
      </c>
      <c r="D6" s="10" t="s">
        <v>7</v>
      </c>
    </row>
    <row r="7" spans="1:26">
      <c r="A7" s="10" t="s">
        <v>15</v>
      </c>
      <c r="B7" s="10" t="s">
        <v>14</v>
      </c>
      <c r="C7" s="12">
        <f>'03_Baseline'!D14</f>
        <v>610000</v>
      </c>
      <c r="D7" s="10" t="s">
        <v>7</v>
      </c>
    </row>
    <row r="8" spans="1:26">
      <c r="A8" s="10" t="s">
        <v>79</v>
      </c>
      <c r="B8" s="10" t="s">
        <v>14</v>
      </c>
      <c r="C8" s="12">
        <f>'03_Baseline'!D15</f>
        <v>2666000</v>
      </c>
      <c r="D8" s="10" t="s">
        <v>7</v>
      </c>
    </row>
    <row r="9" spans="1:26">
      <c r="A9" s="10" t="s">
        <v>80</v>
      </c>
      <c r="B9" s="10" t="s">
        <v>81</v>
      </c>
      <c r="C9" s="12">
        <f>'03_Baseline'!D17</f>
        <v>23423000</v>
      </c>
      <c r="D9" s="10" t="s">
        <v>7</v>
      </c>
    </row>
    <row r="10" spans="1:26">
      <c r="A10" s="10" t="s">
        <v>82</v>
      </c>
      <c r="B10" s="10" t="s">
        <v>81</v>
      </c>
      <c r="C10" s="12">
        <f>'03_Baseline'!D18</f>
        <v>26660000</v>
      </c>
      <c r="D10" s="10" t="s">
        <v>7</v>
      </c>
    </row>
    <row r="12" spans="1:26">
      <c r="A12" s="42" t="s">
        <v>83</v>
      </c>
    </row>
    <row r="13" spans="1:26">
      <c r="A13" s="4" t="s">
        <v>84</v>
      </c>
      <c r="B13" s="4" t="s">
        <v>4</v>
      </c>
      <c r="C13" s="4" t="s">
        <v>24</v>
      </c>
      <c r="D13" s="4" t="s">
        <v>25</v>
      </c>
      <c r="E13" s="4" t="s">
        <v>85</v>
      </c>
      <c r="F13" s="4" t="s">
        <v>86</v>
      </c>
      <c r="G13" s="4" t="s">
        <v>6</v>
      </c>
      <c r="H13" s="43" t="s">
        <v>7</v>
      </c>
      <c r="I13" s="43" t="s">
        <v>7</v>
      </c>
      <c r="J13" s="43" t="s">
        <v>7</v>
      </c>
    </row>
    <row r="14" spans="1:26">
      <c r="A14" s="5" t="s">
        <v>56</v>
      </c>
      <c r="B14" s="5" t="s">
        <v>81</v>
      </c>
      <c r="C14" s="15">
        <f>'04_Mode_Params'!C5</f>
        <v>3539400</v>
      </c>
      <c r="D14" s="15">
        <f>'04_Mode_Params'!D5</f>
        <v>3539400</v>
      </c>
      <c r="E14" s="15">
        <f>C14-D14</f>
        <v>0</v>
      </c>
      <c r="F14" s="5" t="str">
        <f>IF(E14&gt;0,"LaaS更优/成本更低",IF(E14&lt;0,"能源托管更优/成本更低","相同"))</f>
        <v>相同</v>
      </c>
      <c r="G14" s="5" t="s">
        <v>87</v>
      </c>
    </row>
    <row r="15" spans="1:26">
      <c r="A15" s="5" t="s">
        <v>45</v>
      </c>
      <c r="B15" s="5" t="s">
        <v>14</v>
      </c>
      <c r="C15" s="15">
        <f>'04_Mode_Params'!C16</f>
        <v>1635056</v>
      </c>
      <c r="D15" s="15">
        <f>'04_Mode_Params'!D16</f>
        <v>2350000</v>
      </c>
      <c r="E15" s="15">
        <f>D15-C15</f>
        <v>714944</v>
      </c>
      <c r="F15" s="5" t="str">
        <f>IF(E15&gt;0,"LaaS更高",IF(E15&lt;0,"能源托管更高","相同"))</f>
        <v>LaaS更高</v>
      </c>
      <c r="G15" s="5" t="s">
        <v>88</v>
      </c>
    </row>
    <row r="16" spans="1:26">
      <c r="A16" s="5" t="s">
        <v>48</v>
      </c>
      <c r="B16" s="5" t="s">
        <v>14</v>
      </c>
      <c r="C16" s="15">
        <f>'04_Mode_Params'!C17</f>
        <v>610000</v>
      </c>
      <c r="D16" s="15">
        <f>'04_Mode_Params'!D17</f>
        <v>764200</v>
      </c>
      <c r="E16" s="15">
        <f>C16-D16</f>
        <v>-154200</v>
      </c>
      <c r="F16" s="5" t="str">
        <f>IF(E16&gt;0,"LaaS更优/成本更低",IF(E16&lt;0,"能源托管更优/成本更低","相同"))</f>
        <v>能源托管更优/成本更低</v>
      </c>
      <c r="G16" s="5" t="s">
        <v>89</v>
      </c>
    </row>
    <row r="17" spans="1:10">
      <c r="A17" s="5" t="s">
        <v>54</v>
      </c>
      <c r="B17" s="5" t="s">
        <v>14</v>
      </c>
      <c r="C17" s="15">
        <f>'04_Mode_Params'!C18</f>
        <v>1025056</v>
      </c>
      <c r="D17" s="15">
        <f>'04_Mode_Params'!D18</f>
        <v>1585800</v>
      </c>
      <c r="E17" s="15">
        <f>D17-C17</f>
        <v>560744</v>
      </c>
      <c r="F17" s="5" t="str">
        <f>IF(E17&gt;0,"LaaS更高",IF(E17&lt;0,"能源托管更高","相同"))</f>
        <v>LaaS更高</v>
      </c>
      <c r="G17" s="5" t="s">
        <v>90</v>
      </c>
    </row>
    <row r="18" spans="1:10">
      <c r="A18" s="5" t="s">
        <v>60</v>
      </c>
      <c r="B18" s="5" t="s">
        <v>81</v>
      </c>
      <c r="C18" s="15">
        <f>'05_Annual_Model'!M24</f>
        <v>6711160</v>
      </c>
      <c r="D18" s="15">
        <f>'05_Annual_Model'!M51</f>
        <v>12318600</v>
      </c>
      <c r="E18" s="15">
        <f>D18-C18</f>
        <v>5607440</v>
      </c>
      <c r="F18" s="5" t="str">
        <f>IF(E18&gt;0,"LaaS更高",IF(E18&lt;0,"能源托管更高","相同"))</f>
        <v>LaaS更高</v>
      </c>
      <c r="G18" s="5" t="s">
        <v>91</v>
      </c>
    </row>
    <row r="19" spans="1:10">
      <c r="A19" s="5" t="s">
        <v>63</v>
      </c>
      <c r="B19" s="5" t="s">
        <v>81</v>
      </c>
      <c r="C19" s="15">
        <f>'05_Annual_Model'!C25</f>
        <v>2252395.01661072</v>
      </c>
      <c r="D19" s="15">
        <f>'05_Annual_Model'!C52</f>
        <v>5420723.67845395</v>
      </c>
      <c r="E19" s="15">
        <f>D19-C19</f>
        <v>3168328.66184322</v>
      </c>
      <c r="F19" s="5" t="str">
        <f>IF(E19&gt;0,"LaaS更高",IF(E19&lt;0,"能源托管更高","相同"))</f>
        <v>LaaS更高</v>
      </c>
      <c r="G19" s="5" t="s">
        <v>92</v>
      </c>
    </row>
    <row r="20" spans="1:10">
      <c r="A20" s="5" t="s">
        <v>65</v>
      </c>
      <c r="B20" s="5" t="s">
        <v>93</v>
      </c>
      <c r="C20" s="44">
        <f>'05_Annual_Model'!C26</f>
        <v>0.261160922929116</v>
      </c>
      <c r="D20" s="44">
        <f>'05_Annual_Model'!C53</f>
        <v>0.436027982587965</v>
      </c>
      <c r="E20" s="15">
        <f>D20-C20</f>
        <v>0.174867059658849</v>
      </c>
      <c r="F20" s="5" t="str">
        <f>IF(E20&gt;0,"LaaS更高",IF(E20&lt;0,"能源托管更高","相同"))</f>
        <v>LaaS更高</v>
      </c>
      <c r="G20" s="5" t="s">
        <v>94</v>
      </c>
    </row>
    <row r="21" spans="1:10">
      <c r="A21" s="5" t="s">
        <v>95</v>
      </c>
      <c r="B21" s="5" t="s">
        <v>93</v>
      </c>
      <c r="C21" s="24">
        <f>'05_Annual_Model'!C27</f>
        <v>1.89612928744985</v>
      </c>
      <c r="D21" s="24">
        <f>'05_Annual_Model'!C54</f>
        <v>3.48042041023902</v>
      </c>
      <c r="E21" s="24">
        <f>D21-C21</f>
        <v>1.58429112278917</v>
      </c>
      <c r="F21" s="5" t="str">
        <f>IF(E21&gt;0,"LaaS更高",IF(E21&lt;0,"能源托管更高","相同"))</f>
        <v>LaaS更高</v>
      </c>
      <c r="G21" s="5" t="s">
        <v>96</v>
      </c>
    </row>
    <row r="22" spans="1:10">
      <c r="A22" s="5" t="s">
        <v>97</v>
      </c>
      <c r="B22" s="5" t="s">
        <v>98</v>
      </c>
      <c r="C22" s="45" t="str">
        <f>'05_Annual_Model'!C28</f>
        <v>Y4</v>
      </c>
      <c r="D22" s="45" t="str">
        <f>'05_Annual_Model'!C55</f>
        <v>Y3</v>
      </c>
      <c r="E22" s="45" t="e">
        <f>IF(OR(C22="未回收",D22="未回收"),"看回收状态",C22-D22)</f>
        <v>#VALUE!</v>
      </c>
      <c r="F22" s="5" t="str">
        <f>IF(D22=C22,"相同",IF(D22="未回收","能源托管回收更好",IF(C22="未回收","LaaS回收更好",IF(D22&lt;C22,"LaaS回收更快","能源托管回收更快"))))</f>
        <v>LaaS回收更快</v>
      </c>
      <c r="G22" s="5" t="s">
        <v>99</v>
      </c>
    </row>
    <row r="23" spans="1:10">
      <c r="A23" s="5" t="s">
        <v>39</v>
      </c>
      <c r="B23" s="5" t="s">
        <v>14</v>
      </c>
      <c r="C23" s="15">
        <f>'04_Mode_Params'!C19</f>
        <v>2663056</v>
      </c>
      <c r="D23" s="15">
        <f>'04_Mode_Params'!D19</f>
        <v>2658400</v>
      </c>
      <c r="E23" s="15">
        <f>C23-D23</f>
        <v>4656</v>
      </c>
      <c r="F23" s="5" t="str">
        <f>IF(E23&gt;0,"LaaS更优/成本更低",IF(E23&lt;0,"能源托管更优/成本更低","相同"))</f>
        <v>LaaS更优/成本更低</v>
      </c>
      <c r="G23" s="5" t="s">
        <v>100</v>
      </c>
    </row>
    <row r="24" spans="1:10">
      <c r="A24" s="5" t="s">
        <v>43</v>
      </c>
      <c r="B24" s="5" t="s">
        <v>14</v>
      </c>
      <c r="C24" s="15">
        <f>'04_Mode_Params'!C20</f>
        <v>2944</v>
      </c>
      <c r="D24" s="15">
        <f>'04_Mode_Params'!D20</f>
        <v>7600</v>
      </c>
      <c r="E24" s="15">
        <f>D24-C24</f>
        <v>4656</v>
      </c>
      <c r="F24" s="5" t="str">
        <f>IF(E24&gt;0,"LaaS更高",IF(E24&lt;0,"能源托管更高","相同"))</f>
        <v>LaaS更高</v>
      </c>
      <c r="G24" s="5" t="s">
        <v>101</v>
      </c>
    </row>
    <row r="25" spans="1:10">
      <c r="A25" s="5" t="s">
        <v>102</v>
      </c>
      <c r="B25" s="5" t="s">
        <v>93</v>
      </c>
      <c r="C25" s="24">
        <f>'04_Mode_Params'!C21</f>
        <v>0.00110427606901725</v>
      </c>
      <c r="D25" s="24">
        <f>'04_Mode_Params'!D21</f>
        <v>0.00285071267816954</v>
      </c>
      <c r="E25" s="24">
        <f>D25-C25</f>
        <v>0.00174643660915229</v>
      </c>
      <c r="F25" s="5" t="str">
        <f>IF(E25&gt;0,"LaaS更高",IF(E25&lt;0,"能源托管更高","相同"))</f>
        <v>LaaS更高</v>
      </c>
      <c r="G25" s="5" t="s">
        <v>103</v>
      </c>
    </row>
    <row r="26" spans="1:10">
      <c r="A26" s="5" t="s">
        <v>68</v>
      </c>
      <c r="B26" s="5" t="s">
        <v>14</v>
      </c>
      <c r="C26" s="15">
        <f>'06_Sensitivity'!C5</f>
        <v>1236417.75062735</v>
      </c>
      <c r="D26" s="15">
        <f>'06_Sensitivity'!C6</f>
        <v>1390617.75062735</v>
      </c>
      <c r="E26" s="15">
        <f>C26-D26</f>
        <v>-154200</v>
      </c>
      <c r="F26" s="5" t="str">
        <f>IF(E26&gt;0,"LaaS更优/成本更低",IF(E26&lt;0,"能源托管更优/成本更低","相同"))</f>
        <v>能源托管更优/成本更低</v>
      </c>
      <c r="G26" s="5" t="s">
        <v>104</v>
      </c>
    </row>
    <row r="28" spans="1:10">
      <c r="A28" s="42" t="s">
        <v>105</v>
      </c>
    </row>
    <row r="29" spans="1:10">
      <c r="A29" s="5" t="s">
        <v>106</v>
      </c>
      <c r="B29" s="46" t="s">
        <v>107</v>
      </c>
      <c r="C29" s="6" t="s">
        <v>7</v>
      </c>
      <c r="D29" s="39"/>
      <c r="E29" s="39"/>
      <c r="F29" s="39"/>
      <c r="G29" s="39"/>
      <c r="H29" s="39"/>
      <c r="I29" s="39"/>
      <c r="J29" s="40"/>
    </row>
    <row r="30" spans="1:10">
      <c r="A30" s="5" t="s">
        <v>108</v>
      </c>
      <c r="B30" s="46" t="s">
        <v>109</v>
      </c>
      <c r="C30" s="6" t="s">
        <v>7</v>
      </c>
      <c r="D30" s="39"/>
      <c r="E30" s="39"/>
      <c r="F30" s="39"/>
      <c r="G30" s="39"/>
      <c r="H30" s="39"/>
      <c r="I30" s="39"/>
      <c r="J30" s="40"/>
    </row>
    <row r="31" spans="1:10">
      <c r="A31" s="5" t="s">
        <v>110</v>
      </c>
      <c r="B31" s="46" t="s">
        <v>111</v>
      </c>
      <c r="C31" s="6" t="s">
        <v>7</v>
      </c>
      <c r="D31" s="39"/>
      <c r="E31" s="39"/>
      <c r="F31" s="39"/>
      <c r="G31" s="39"/>
      <c r="H31" s="39"/>
      <c r="I31" s="39"/>
      <c r="J31" s="40"/>
    </row>
    <row r="32" spans="1:10">
      <c r="A32" s="5" t="s">
        <v>112</v>
      </c>
      <c r="B32" s="46" t="s">
        <v>113</v>
      </c>
      <c r="C32" s="6" t="s">
        <v>7</v>
      </c>
      <c r="D32" s="39"/>
      <c r="E32" s="39"/>
      <c r="F32" s="39"/>
      <c r="G32" s="39"/>
      <c r="H32" s="39"/>
      <c r="I32" s="39"/>
      <c r="J32" s="40"/>
    </row>
  </sheetData>
  <mergeCells count="9">
    <mergeCell ref="A1:J1"/>
    <mergeCell ref="A2:J2"/>
    <mergeCell ref="A4:D4"/>
    <mergeCell ref="A12:J12"/>
    <mergeCell ref="A28:J28"/>
    <mergeCell ref="C29:J29"/>
    <mergeCell ref="C30:J30"/>
    <mergeCell ref="C31:J31"/>
    <mergeCell ref="C32:J3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7"/>
  <sheetViews>
    <sheetView tabSelected="1" topLeftCell="A24" workbookViewId="0">
      <selection activeCell="A1" sqref="A1:H1"/>
    </sheetView>
  </sheetViews>
  <sheetFormatPr defaultColWidth="9" defaultRowHeight="16.8"/>
  <cols>
    <col min="1" max="1" width="18" customWidth="1"/>
    <col min="2" max="2" width="28" customWidth="1"/>
    <col min="3" max="3" width="14" customWidth="1"/>
    <col min="4" max="4" width="16" customWidth="1"/>
    <col min="5" max="5" width="28" customWidth="1"/>
    <col min="6" max="6" width="10" customWidth="1"/>
    <col min="7" max="7" width="50" customWidth="1"/>
    <col min="8" max="8" width="14" customWidth="1"/>
  </cols>
  <sheetData>
    <row r="1" ht="26" customHeight="1" spans="1:26">
      <c r="A1" s="1" t="s">
        <v>114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 t="s">
        <v>115</v>
      </c>
    </row>
    <row r="4" spans="1:26">
      <c r="A4" s="4" t="s">
        <v>116</v>
      </c>
      <c r="B4" s="4" t="s">
        <v>117</v>
      </c>
      <c r="C4" s="4" t="s">
        <v>4</v>
      </c>
      <c r="D4" s="4" t="s">
        <v>118</v>
      </c>
      <c r="E4" s="4" t="s">
        <v>119</v>
      </c>
      <c r="F4" s="4" t="s">
        <v>120</v>
      </c>
      <c r="G4" s="4" t="s">
        <v>121</v>
      </c>
      <c r="H4" s="4" t="s">
        <v>122</v>
      </c>
    </row>
    <row r="5" spans="1:26">
      <c r="A5" s="5" t="s">
        <v>123</v>
      </c>
      <c r="B5" s="5" t="s">
        <v>124</v>
      </c>
      <c r="C5" s="5" t="s">
        <v>98</v>
      </c>
      <c r="D5" s="33">
        <v>10</v>
      </c>
      <c r="E5" s="5" t="s">
        <v>125</v>
      </c>
      <c r="F5" s="5" t="s">
        <v>126</v>
      </c>
      <c r="G5" s="6" t="s">
        <v>127</v>
      </c>
      <c r="H5" s="6" t="s">
        <v>128</v>
      </c>
    </row>
    <row r="6" spans="1:26">
      <c r="A6" s="5" t="s">
        <v>123</v>
      </c>
      <c r="B6" s="5" t="s">
        <v>8</v>
      </c>
      <c r="C6" s="5" t="s">
        <v>9</v>
      </c>
      <c r="D6" s="33">
        <v>5000</v>
      </c>
      <c r="E6" s="5" t="s">
        <v>129</v>
      </c>
      <c r="F6" s="5" t="s">
        <v>126</v>
      </c>
      <c r="G6" s="6" t="s">
        <v>130</v>
      </c>
      <c r="H6" s="6" t="s">
        <v>128</v>
      </c>
    </row>
    <row r="7" spans="1:26">
      <c r="A7" s="5" t="s">
        <v>123</v>
      </c>
      <c r="B7" s="5" t="s">
        <v>131</v>
      </c>
      <c r="C7" s="5" t="s">
        <v>14</v>
      </c>
      <c r="D7" s="34">
        <v>2342300</v>
      </c>
      <c r="E7" s="5" t="s">
        <v>129</v>
      </c>
      <c r="F7" s="5" t="s">
        <v>126</v>
      </c>
      <c r="G7" s="6" t="s">
        <v>132</v>
      </c>
      <c r="H7" s="6" t="s">
        <v>133</v>
      </c>
    </row>
    <row r="8" spans="1:26">
      <c r="A8" s="5" t="s">
        <v>123</v>
      </c>
      <c r="B8" s="5" t="s">
        <v>11</v>
      </c>
      <c r="C8" s="5" t="s">
        <v>12</v>
      </c>
      <c r="D8" s="34">
        <v>0.5</v>
      </c>
      <c r="E8" s="5" t="s">
        <v>129</v>
      </c>
      <c r="F8" s="5" t="s">
        <v>126</v>
      </c>
      <c r="G8" s="6" t="s">
        <v>134</v>
      </c>
      <c r="H8" s="6" t="s">
        <v>133</v>
      </c>
    </row>
    <row r="9" spans="1:26">
      <c r="A9" s="5" t="s">
        <v>123</v>
      </c>
      <c r="B9" s="5" t="s">
        <v>135</v>
      </c>
      <c r="C9" s="5" t="s">
        <v>136</v>
      </c>
      <c r="D9" s="35">
        <v>204.831880448319</v>
      </c>
      <c r="E9" s="5" t="s">
        <v>137</v>
      </c>
      <c r="F9" s="5" t="s">
        <v>126</v>
      </c>
      <c r="G9" s="6" t="s">
        <v>138</v>
      </c>
      <c r="H9" s="6" t="s">
        <v>128</v>
      </c>
    </row>
    <row r="10" spans="1:26">
      <c r="A10" s="5" t="s">
        <v>123</v>
      </c>
      <c r="B10" s="5" t="s">
        <v>139</v>
      </c>
      <c r="C10" s="5" t="s">
        <v>140</v>
      </c>
      <c r="D10" s="33">
        <v>11</v>
      </c>
      <c r="E10" s="5" t="s">
        <v>137</v>
      </c>
      <c r="F10" s="5" t="s">
        <v>126</v>
      </c>
      <c r="G10" s="6" t="s">
        <v>141</v>
      </c>
      <c r="H10" s="6" t="s">
        <v>142</v>
      </c>
    </row>
    <row r="11" spans="1:26">
      <c r="A11" s="5" t="s">
        <v>123</v>
      </c>
      <c r="B11" s="5" t="s">
        <v>143</v>
      </c>
      <c r="C11" s="5" t="s">
        <v>144</v>
      </c>
      <c r="D11" s="33">
        <v>365</v>
      </c>
      <c r="E11" s="5" t="s">
        <v>145</v>
      </c>
      <c r="F11" s="5" t="s">
        <v>126</v>
      </c>
      <c r="G11" s="6" t="s">
        <v>146</v>
      </c>
      <c r="H11" s="6" t="s">
        <v>128</v>
      </c>
    </row>
    <row r="12" spans="1:26">
      <c r="A12" s="5" t="s">
        <v>123</v>
      </c>
      <c r="B12" s="5" t="s">
        <v>147</v>
      </c>
      <c r="C12" s="5" t="s">
        <v>148</v>
      </c>
      <c r="D12" s="33">
        <v>122</v>
      </c>
      <c r="E12" s="5" t="s">
        <v>129</v>
      </c>
      <c r="F12" s="5" t="s">
        <v>126</v>
      </c>
      <c r="G12" s="6" t="s">
        <v>149</v>
      </c>
      <c r="H12" s="6" t="s">
        <v>133</v>
      </c>
    </row>
    <row r="13" spans="1:26">
      <c r="A13" s="5" t="s">
        <v>123</v>
      </c>
      <c r="B13" s="5" t="s">
        <v>150</v>
      </c>
      <c r="C13" s="5" t="s">
        <v>93</v>
      </c>
      <c r="D13" s="36">
        <v>0.12</v>
      </c>
      <c r="E13" s="5" t="s">
        <v>145</v>
      </c>
      <c r="F13" s="5" t="s">
        <v>126</v>
      </c>
      <c r="G13" s="6" t="s">
        <v>151</v>
      </c>
      <c r="H13" s="6" t="s">
        <v>133</v>
      </c>
    </row>
    <row r="14" spans="1:26">
      <c r="A14" s="5" t="s">
        <v>123</v>
      </c>
      <c r="B14" s="5" t="s">
        <v>152</v>
      </c>
      <c r="C14" s="5" t="s">
        <v>93</v>
      </c>
      <c r="D14" s="36">
        <v>0</v>
      </c>
      <c r="E14" s="5" t="s">
        <v>145</v>
      </c>
      <c r="F14" s="5" t="s">
        <v>153</v>
      </c>
      <c r="G14" s="6" t="s">
        <v>154</v>
      </c>
      <c r="H14" s="6" t="s">
        <v>133</v>
      </c>
    </row>
    <row r="15" spans="1:26">
      <c r="A15" s="5" t="s">
        <v>123</v>
      </c>
      <c r="B15" s="5" t="s">
        <v>155</v>
      </c>
      <c r="C15" s="5" t="s">
        <v>93</v>
      </c>
      <c r="D15" s="36">
        <v>0</v>
      </c>
      <c r="E15" s="5" t="s">
        <v>145</v>
      </c>
      <c r="F15" s="5" t="s">
        <v>153</v>
      </c>
      <c r="G15" s="6" t="s">
        <v>156</v>
      </c>
      <c r="H15" s="6" t="s">
        <v>133</v>
      </c>
    </row>
    <row r="16" spans="1:26">
      <c r="A16" s="5" t="s">
        <v>123</v>
      </c>
      <c r="B16" s="5" t="s">
        <v>157</v>
      </c>
      <c r="C16" s="5" t="s">
        <v>93</v>
      </c>
      <c r="D16" s="36">
        <v>0</v>
      </c>
      <c r="E16" s="5" t="s">
        <v>145</v>
      </c>
      <c r="F16" s="5" t="s">
        <v>153</v>
      </c>
      <c r="G16" s="6" t="s">
        <v>158</v>
      </c>
      <c r="H16" s="6" t="s">
        <v>133</v>
      </c>
    </row>
    <row r="17" spans="1:8">
      <c r="A17" s="5" t="s">
        <v>123</v>
      </c>
      <c r="B17" s="5" t="s">
        <v>159</v>
      </c>
      <c r="C17" s="5" t="s">
        <v>14</v>
      </c>
      <c r="D17" s="34">
        <v>0</v>
      </c>
      <c r="E17" s="5" t="s">
        <v>145</v>
      </c>
      <c r="F17" s="5" t="s">
        <v>153</v>
      </c>
      <c r="G17" s="6" t="s">
        <v>160</v>
      </c>
      <c r="H17" s="6" t="s">
        <v>133</v>
      </c>
    </row>
    <row r="18" ht="17" spans="1:8">
      <c r="A18" s="13" t="s">
        <v>24</v>
      </c>
      <c r="B18" s="13" t="s">
        <v>161</v>
      </c>
      <c r="C18" s="13" t="s">
        <v>162</v>
      </c>
      <c r="D18" s="37">
        <v>707.88</v>
      </c>
      <c r="E18" s="13" t="s">
        <v>163</v>
      </c>
      <c r="F18" s="13" t="s">
        <v>126</v>
      </c>
      <c r="G18" s="38" t="s">
        <v>164</v>
      </c>
      <c r="H18" s="38" t="s">
        <v>133</v>
      </c>
    </row>
    <row r="19" spans="1:8">
      <c r="A19" s="5" t="s">
        <v>24</v>
      </c>
      <c r="B19" s="5" t="s">
        <v>165</v>
      </c>
      <c r="C19" s="5" t="s">
        <v>14</v>
      </c>
      <c r="D19" s="34">
        <v>1635056</v>
      </c>
      <c r="E19" s="5" t="s">
        <v>166</v>
      </c>
      <c r="F19" s="5" t="s">
        <v>126</v>
      </c>
      <c r="G19" s="6" t="s">
        <v>167</v>
      </c>
      <c r="H19" s="6" t="s">
        <v>133</v>
      </c>
    </row>
    <row r="20" spans="1:8">
      <c r="A20" s="5" t="s">
        <v>24</v>
      </c>
      <c r="B20" s="5" t="s">
        <v>168</v>
      </c>
      <c r="C20" s="5" t="s">
        <v>14</v>
      </c>
      <c r="D20" s="34">
        <v>0</v>
      </c>
      <c r="E20" s="5" t="s">
        <v>145</v>
      </c>
      <c r="F20" s="5" t="s">
        <v>153</v>
      </c>
      <c r="G20" s="6" t="s">
        <v>169</v>
      </c>
      <c r="H20" s="6" t="s">
        <v>133</v>
      </c>
    </row>
    <row r="21" spans="1:8">
      <c r="A21" s="5" t="s">
        <v>24</v>
      </c>
      <c r="B21" s="5" t="s">
        <v>29</v>
      </c>
      <c r="C21" s="5" t="s">
        <v>93</v>
      </c>
      <c r="D21" s="36">
        <v>0.5</v>
      </c>
      <c r="E21" s="5" t="s">
        <v>170</v>
      </c>
      <c r="F21" s="5" t="s">
        <v>126</v>
      </c>
      <c r="G21" s="6" t="s">
        <v>171</v>
      </c>
      <c r="H21" s="6" t="s">
        <v>172</v>
      </c>
    </row>
    <row r="22" spans="1:8">
      <c r="A22" s="5" t="s">
        <v>24</v>
      </c>
      <c r="B22" s="5" t="s">
        <v>173</v>
      </c>
      <c r="C22" s="5" t="s">
        <v>148</v>
      </c>
      <c r="D22" s="34">
        <v>81.3333333333333</v>
      </c>
      <c r="E22" s="5" t="s">
        <v>163</v>
      </c>
      <c r="F22" s="5" t="s">
        <v>126</v>
      </c>
      <c r="G22" s="6" t="s">
        <v>174</v>
      </c>
      <c r="H22" s="6" t="s">
        <v>133</v>
      </c>
    </row>
    <row r="23" spans="1:8">
      <c r="A23" s="5" t="s">
        <v>24</v>
      </c>
      <c r="B23" s="5" t="s">
        <v>175</v>
      </c>
      <c r="C23" s="5" t="s">
        <v>14</v>
      </c>
      <c r="D23" s="34">
        <v>152500</v>
      </c>
      <c r="E23" s="5" t="s">
        <v>145</v>
      </c>
      <c r="F23" s="5" t="s">
        <v>126</v>
      </c>
      <c r="G23" s="6" t="s">
        <v>176</v>
      </c>
      <c r="H23" s="6" t="s">
        <v>133</v>
      </c>
    </row>
    <row r="24" spans="1:8">
      <c r="A24" s="5" t="s">
        <v>24</v>
      </c>
      <c r="B24" s="5" t="s">
        <v>177</v>
      </c>
      <c r="C24" s="5" t="s">
        <v>14</v>
      </c>
      <c r="D24" s="34">
        <v>50833.3333333333</v>
      </c>
      <c r="E24" s="5" t="s">
        <v>145</v>
      </c>
      <c r="F24" s="5" t="s">
        <v>126</v>
      </c>
      <c r="G24" s="6" t="s">
        <v>178</v>
      </c>
      <c r="H24" s="6" t="s">
        <v>133</v>
      </c>
    </row>
    <row r="25" spans="1:8">
      <c r="A25" s="5" t="s">
        <v>24</v>
      </c>
      <c r="B25" s="5" t="s">
        <v>179</v>
      </c>
      <c r="C25" s="5" t="s">
        <v>180</v>
      </c>
      <c r="D25" s="33">
        <v>0</v>
      </c>
      <c r="E25" s="5" t="s">
        <v>181</v>
      </c>
      <c r="F25" s="5" t="s">
        <v>126</v>
      </c>
      <c r="G25" s="6" t="s">
        <v>182</v>
      </c>
      <c r="H25" s="6" t="s">
        <v>183</v>
      </c>
    </row>
    <row r="26" spans="1:8">
      <c r="A26" s="5" t="s">
        <v>24</v>
      </c>
      <c r="B26" s="5" t="s">
        <v>184</v>
      </c>
      <c r="C26" s="5" t="s">
        <v>98</v>
      </c>
      <c r="D26" s="33">
        <v>0</v>
      </c>
      <c r="E26" s="5" t="s">
        <v>145</v>
      </c>
      <c r="F26" s="5" t="s">
        <v>153</v>
      </c>
      <c r="G26" s="6" t="s">
        <v>185</v>
      </c>
      <c r="H26" s="6" t="s">
        <v>186</v>
      </c>
    </row>
    <row r="27" spans="1:8">
      <c r="A27" s="5" t="s">
        <v>24</v>
      </c>
      <c r="B27" s="5" t="s">
        <v>187</v>
      </c>
      <c r="C27" s="5" t="s">
        <v>81</v>
      </c>
      <c r="D27" s="34">
        <v>0</v>
      </c>
      <c r="E27" s="5" t="s">
        <v>145</v>
      </c>
      <c r="F27" s="5" t="s">
        <v>153</v>
      </c>
      <c r="G27" s="6" t="s">
        <v>188</v>
      </c>
      <c r="H27" s="6" t="s">
        <v>133</v>
      </c>
    </row>
    <row r="28" ht="17" spans="1:8">
      <c r="A28" s="13" t="s">
        <v>25</v>
      </c>
      <c r="B28" s="13" t="s">
        <v>161</v>
      </c>
      <c r="C28" s="13" t="s">
        <v>162</v>
      </c>
      <c r="D28" s="37">
        <v>707.88</v>
      </c>
      <c r="E28" s="13" t="s">
        <v>163</v>
      </c>
      <c r="F28" s="13" t="s">
        <v>126</v>
      </c>
      <c r="G28" s="38" t="s">
        <v>189</v>
      </c>
      <c r="H28" s="38" t="s">
        <v>133</v>
      </c>
    </row>
    <row r="29" spans="1:8">
      <c r="A29" s="5" t="s">
        <v>25</v>
      </c>
      <c r="B29" s="5" t="s">
        <v>190</v>
      </c>
      <c r="C29" s="5" t="s">
        <v>14</v>
      </c>
      <c r="D29" s="34">
        <v>2350000</v>
      </c>
      <c r="E29" s="5" t="s">
        <v>166</v>
      </c>
      <c r="F29" s="5" t="s">
        <v>126</v>
      </c>
      <c r="G29" s="6" t="s">
        <v>191</v>
      </c>
      <c r="H29" s="6" t="s">
        <v>133</v>
      </c>
    </row>
    <row r="30" spans="1:8">
      <c r="A30" s="5" t="s">
        <v>25</v>
      </c>
      <c r="B30" s="5" t="s">
        <v>168</v>
      </c>
      <c r="C30" s="5" t="s">
        <v>14</v>
      </c>
      <c r="D30" s="34">
        <v>0</v>
      </c>
      <c r="E30" s="5" t="s">
        <v>145</v>
      </c>
      <c r="F30" s="5" t="s">
        <v>153</v>
      </c>
      <c r="G30" s="6" t="s">
        <v>192</v>
      </c>
      <c r="H30" s="6" t="s">
        <v>133</v>
      </c>
    </row>
    <row r="31" spans="1:8">
      <c r="A31" s="5" t="s">
        <v>25</v>
      </c>
      <c r="B31" s="5" t="s">
        <v>29</v>
      </c>
      <c r="C31" s="5" t="s">
        <v>93</v>
      </c>
      <c r="D31" s="36">
        <v>0.85</v>
      </c>
      <c r="E31" s="5" t="s">
        <v>170</v>
      </c>
      <c r="F31" s="5" t="s">
        <v>126</v>
      </c>
      <c r="G31" s="6" t="s">
        <v>193</v>
      </c>
      <c r="H31" s="6" t="s">
        <v>172</v>
      </c>
    </row>
    <row r="32" spans="1:8">
      <c r="A32" s="5" t="s">
        <v>25</v>
      </c>
      <c r="B32" s="5" t="s">
        <v>173</v>
      </c>
      <c r="C32" s="5" t="s">
        <v>148</v>
      </c>
      <c r="D32" s="34">
        <v>57.315</v>
      </c>
      <c r="E32" s="5" t="s">
        <v>170</v>
      </c>
      <c r="F32" s="5" t="s">
        <v>126</v>
      </c>
      <c r="G32" s="6" t="s">
        <v>194</v>
      </c>
      <c r="H32" s="6" t="s">
        <v>133</v>
      </c>
    </row>
    <row r="33" spans="1:8">
      <c r="A33" s="5" t="s">
        <v>25</v>
      </c>
      <c r="B33" s="5" t="s">
        <v>195</v>
      </c>
      <c r="C33" s="5" t="s">
        <v>14</v>
      </c>
      <c r="D33" s="34">
        <v>334337.5</v>
      </c>
      <c r="E33" s="5" t="s">
        <v>145</v>
      </c>
      <c r="F33" s="5" t="s">
        <v>126</v>
      </c>
      <c r="G33" s="6" t="s">
        <v>196</v>
      </c>
      <c r="H33" s="6" t="s">
        <v>133</v>
      </c>
    </row>
    <row r="34" spans="1:8">
      <c r="A34" s="5" t="s">
        <v>25</v>
      </c>
      <c r="B34" s="5" t="s">
        <v>197</v>
      </c>
      <c r="C34" s="5" t="s">
        <v>14</v>
      </c>
      <c r="D34" s="34">
        <v>143287.5</v>
      </c>
      <c r="E34" s="5" t="s">
        <v>145</v>
      </c>
      <c r="F34" s="5" t="s">
        <v>126</v>
      </c>
      <c r="G34" s="6" t="s">
        <v>198</v>
      </c>
      <c r="H34" s="6" t="s">
        <v>133</v>
      </c>
    </row>
    <row r="35" spans="1:8">
      <c r="A35" s="5" t="s">
        <v>25</v>
      </c>
      <c r="B35" s="5" t="s">
        <v>179</v>
      </c>
      <c r="C35" s="5" t="s">
        <v>180</v>
      </c>
      <c r="D35" s="33">
        <v>0</v>
      </c>
      <c r="E35" s="5" t="s">
        <v>181</v>
      </c>
      <c r="F35" s="5" t="s">
        <v>126</v>
      </c>
      <c r="G35" s="6" t="s">
        <v>182</v>
      </c>
      <c r="H35" s="6" t="s">
        <v>183</v>
      </c>
    </row>
    <row r="36" spans="1:8">
      <c r="A36" s="5" t="s">
        <v>25</v>
      </c>
      <c r="B36" s="5" t="s">
        <v>184</v>
      </c>
      <c r="C36" s="5" t="s">
        <v>98</v>
      </c>
      <c r="D36" s="33">
        <v>0</v>
      </c>
      <c r="E36" s="5" t="s">
        <v>145</v>
      </c>
      <c r="F36" s="5" t="s">
        <v>153</v>
      </c>
      <c r="G36" s="6" t="s">
        <v>185</v>
      </c>
      <c r="H36" s="6" t="s">
        <v>186</v>
      </c>
    </row>
    <row r="37" spans="1:8">
      <c r="A37" s="5" t="s">
        <v>25</v>
      </c>
      <c r="B37" s="5" t="s">
        <v>187</v>
      </c>
      <c r="C37" s="5" t="s">
        <v>81</v>
      </c>
      <c r="D37" s="34">
        <v>0</v>
      </c>
      <c r="E37" s="5" t="s">
        <v>145</v>
      </c>
      <c r="F37" s="5" t="s">
        <v>153</v>
      </c>
      <c r="G37" s="6" t="s">
        <v>188</v>
      </c>
      <c r="H37" s="6" t="s">
        <v>133</v>
      </c>
    </row>
    <row r="45" spans="1:8">
      <c r="A45" t="s">
        <v>199</v>
      </c>
      <c r="D45">
        <v>0</v>
      </c>
    </row>
    <row r="46" spans="1:8">
      <c r="A46" t="s">
        <v>200</v>
      </c>
      <c r="D46">
        <v>0</v>
      </c>
    </row>
    <row r="47" spans="1:8">
      <c r="A47" t="s">
        <v>201</v>
      </c>
      <c r="D47" t="s">
        <v>202</v>
      </c>
    </row>
  </sheetData>
  <mergeCells count="2">
    <mergeCell ref="A1:H1"/>
    <mergeCell ref="A2:H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8"/>
  <sheetViews>
    <sheetView workbookViewId="0">
      <selection activeCell="A1" sqref="A1:F1"/>
    </sheetView>
  </sheetViews>
  <sheetFormatPr defaultColWidth="9" defaultRowHeight="16.8"/>
  <cols>
    <col min="1" max="1" width="24" customWidth="1"/>
    <col min="2" max="2" width="14" customWidth="1"/>
    <col min="3" max="3" width="46" customWidth="1"/>
    <col min="4" max="4" width="18" customWidth="1"/>
    <col min="5" max="5" width="34" customWidth="1"/>
    <col min="6" max="6" width="16" customWidth="1"/>
  </cols>
  <sheetData>
    <row r="1" ht="26" customHeight="1" spans="1:26">
      <c r="A1" s="1" t="s">
        <v>203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 t="s">
        <v>204</v>
      </c>
    </row>
    <row r="4" spans="1:26">
      <c r="A4" s="4" t="s">
        <v>205</v>
      </c>
      <c r="B4" s="4" t="s">
        <v>4</v>
      </c>
      <c r="C4" s="4" t="s">
        <v>206</v>
      </c>
      <c r="D4" s="4" t="s">
        <v>207</v>
      </c>
      <c r="E4" s="4" t="s">
        <v>121</v>
      </c>
      <c r="F4" s="4" t="s">
        <v>122</v>
      </c>
    </row>
    <row r="5" spans="1:26">
      <c r="A5" s="5" t="s">
        <v>8</v>
      </c>
      <c r="B5" s="5" t="s">
        <v>9</v>
      </c>
      <c r="C5" s="6" t="s">
        <v>208</v>
      </c>
      <c r="D5" s="29">
        <f>'02_Inputs'!D6</f>
        <v>5000</v>
      </c>
      <c r="E5" s="6" t="s">
        <v>7</v>
      </c>
      <c r="F5" s="5" t="s">
        <v>7</v>
      </c>
    </row>
    <row r="6" spans="1:26">
      <c r="A6" s="5" t="s">
        <v>135</v>
      </c>
      <c r="B6" s="5" t="s">
        <v>136</v>
      </c>
      <c r="C6" s="6" t="s">
        <v>208</v>
      </c>
      <c r="D6" s="29">
        <f>'02_Inputs'!D9</f>
        <v>204.831880448319</v>
      </c>
      <c r="E6" s="6" t="s">
        <v>7</v>
      </c>
      <c r="F6" s="5" t="s">
        <v>7</v>
      </c>
    </row>
    <row r="7" spans="1:26">
      <c r="A7" s="5" t="s">
        <v>139</v>
      </c>
      <c r="B7" s="5" t="s">
        <v>140</v>
      </c>
      <c r="C7" s="6" t="s">
        <v>208</v>
      </c>
      <c r="D7" s="29">
        <f>'02_Inputs'!D10</f>
        <v>11</v>
      </c>
      <c r="E7" s="6" t="s">
        <v>7</v>
      </c>
      <c r="F7" s="5" t="s">
        <v>7</v>
      </c>
    </row>
    <row r="8" spans="1:26">
      <c r="A8" s="5" t="s">
        <v>143</v>
      </c>
      <c r="B8" s="5" t="s">
        <v>144</v>
      </c>
      <c r="C8" s="6" t="s">
        <v>208</v>
      </c>
      <c r="D8" s="29">
        <f>'02_Inputs'!D11</f>
        <v>365</v>
      </c>
      <c r="E8" s="6" t="s">
        <v>7</v>
      </c>
      <c r="F8" s="5" t="s">
        <v>7</v>
      </c>
    </row>
    <row r="9" spans="1:26">
      <c r="A9" s="5" t="s">
        <v>209</v>
      </c>
      <c r="B9" s="5" t="s">
        <v>210</v>
      </c>
      <c r="C9" s="6" t="s">
        <v>211</v>
      </c>
      <c r="D9" s="29">
        <f>D7*D8</f>
        <v>4015</v>
      </c>
      <c r="E9" s="6" t="s">
        <v>7</v>
      </c>
      <c r="F9" s="5" t="s">
        <v>7</v>
      </c>
    </row>
    <row r="10" spans="1:26">
      <c r="A10" s="5" t="s">
        <v>212</v>
      </c>
      <c r="B10" s="5" t="s">
        <v>213</v>
      </c>
      <c r="C10" s="6" t="s">
        <v>214</v>
      </c>
      <c r="D10" s="29">
        <f>D5*D6/1000*D9</f>
        <v>4112000</v>
      </c>
      <c r="E10" s="6" t="s">
        <v>7</v>
      </c>
      <c r="F10" s="5" t="s">
        <v>7</v>
      </c>
    </row>
    <row r="11" spans="1:26">
      <c r="A11" s="5" t="s">
        <v>11</v>
      </c>
      <c r="B11" s="5" t="s">
        <v>12</v>
      </c>
      <c r="C11" s="6" t="s">
        <v>208</v>
      </c>
      <c r="D11" s="30">
        <f>'02_Inputs'!D8</f>
        <v>0.5</v>
      </c>
      <c r="E11" s="6" t="s">
        <v>7</v>
      </c>
      <c r="F11" s="5" t="s">
        <v>7</v>
      </c>
    </row>
    <row r="12" spans="1:26">
      <c r="A12" s="5" t="s">
        <v>13</v>
      </c>
      <c r="B12" s="5" t="s">
        <v>14</v>
      </c>
      <c r="C12" s="6" t="s">
        <v>215</v>
      </c>
      <c r="D12" s="31">
        <f>D10*D11</f>
        <v>2056000</v>
      </c>
      <c r="E12" s="6" t="s">
        <v>7</v>
      </c>
      <c r="F12" s="5" t="s">
        <v>7</v>
      </c>
    </row>
    <row r="13" spans="1:26">
      <c r="A13" s="5" t="s">
        <v>147</v>
      </c>
      <c r="B13" s="5" t="s">
        <v>148</v>
      </c>
      <c r="C13" s="6" t="s">
        <v>208</v>
      </c>
      <c r="D13" s="31">
        <f>'02_Inputs'!D12</f>
        <v>122</v>
      </c>
      <c r="E13" s="6" t="s">
        <v>7</v>
      </c>
      <c r="F13" s="5" t="s">
        <v>7</v>
      </c>
    </row>
    <row r="14" spans="1:26">
      <c r="A14" s="5" t="s">
        <v>15</v>
      </c>
      <c r="B14" s="5" t="s">
        <v>14</v>
      </c>
      <c r="C14" s="6" t="s">
        <v>216</v>
      </c>
      <c r="D14" s="31">
        <f>D5*D13</f>
        <v>610000</v>
      </c>
      <c r="E14" s="6" t="s">
        <v>7</v>
      </c>
      <c r="F14" s="5" t="s">
        <v>7</v>
      </c>
    </row>
    <row r="15" spans="1:26">
      <c r="A15" s="25" t="s">
        <v>79</v>
      </c>
      <c r="B15" s="25" t="s">
        <v>14</v>
      </c>
      <c r="C15" s="27" t="s">
        <v>217</v>
      </c>
      <c r="D15" s="32">
        <f>D12+D14</f>
        <v>2666000</v>
      </c>
      <c r="E15" s="27" t="s">
        <v>7</v>
      </c>
      <c r="F15" s="25" t="s">
        <v>7</v>
      </c>
    </row>
    <row r="16" spans="1:26">
      <c r="A16" s="25" t="s">
        <v>218</v>
      </c>
      <c r="B16" s="25" t="s">
        <v>14</v>
      </c>
      <c r="C16" s="27" t="s">
        <v>208</v>
      </c>
      <c r="D16" s="32">
        <f>'02_Inputs'!D7</f>
        <v>2342300</v>
      </c>
      <c r="E16" s="27" t="s">
        <v>7</v>
      </c>
      <c r="F16" s="25" t="s">
        <v>7</v>
      </c>
    </row>
    <row r="17" spans="1:6">
      <c r="A17" s="25" t="s">
        <v>219</v>
      </c>
      <c r="B17" s="25" t="s">
        <v>81</v>
      </c>
      <c r="C17" s="27" t="s">
        <v>220</v>
      </c>
      <c r="D17" s="32">
        <f>D16*'02_Inputs'!D5</f>
        <v>23423000</v>
      </c>
      <c r="E17" s="27" t="s">
        <v>7</v>
      </c>
      <c r="F17" s="25" t="s">
        <v>7</v>
      </c>
    </row>
    <row r="18" spans="1:6">
      <c r="A18" s="25" t="s">
        <v>82</v>
      </c>
      <c r="B18" s="25" t="s">
        <v>81</v>
      </c>
      <c r="C18" s="27" t="s">
        <v>221</v>
      </c>
      <c r="D18" s="32">
        <f>SUM('05_Annual_Model'!D8:M8)</f>
        <v>26660000</v>
      </c>
      <c r="E18" s="27" t="s">
        <v>7</v>
      </c>
      <c r="F18" s="25" t="s">
        <v>7</v>
      </c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1"/>
  <sheetViews>
    <sheetView workbookViewId="0">
      <selection activeCell="A1" sqref="A1:H1"/>
    </sheetView>
  </sheetViews>
  <sheetFormatPr defaultColWidth="9" defaultRowHeight="16.8"/>
  <cols>
    <col min="1" max="1" width="24" customWidth="1"/>
    <col min="2" max="2" width="12" customWidth="1"/>
    <col min="3" max="5" width="18" customWidth="1"/>
    <col min="6" max="6" width="42" customWidth="1"/>
    <col min="7" max="7" width="18" customWidth="1"/>
    <col min="8" max="8" width="36" customWidth="1"/>
  </cols>
  <sheetData>
    <row r="1" ht="26" customHeight="1" spans="1:26">
      <c r="A1" s="1" t="s">
        <v>222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 t="s">
        <v>223</v>
      </c>
    </row>
    <row r="4" spans="1:26">
      <c r="A4" s="4" t="s">
        <v>205</v>
      </c>
      <c r="B4" s="4" t="s">
        <v>4</v>
      </c>
      <c r="C4" s="4" t="s">
        <v>24</v>
      </c>
      <c r="D4" s="4" t="s">
        <v>25</v>
      </c>
      <c r="E4" s="4" t="s">
        <v>85</v>
      </c>
      <c r="F4" s="4" t="s">
        <v>224</v>
      </c>
      <c r="G4" s="4" t="s">
        <v>225</v>
      </c>
      <c r="H4" s="4" t="s">
        <v>121</v>
      </c>
    </row>
    <row r="5" spans="1:26">
      <c r="A5" s="5" t="s">
        <v>56</v>
      </c>
      <c r="B5" s="5" t="s">
        <v>81</v>
      </c>
      <c r="C5" s="15">
        <f>'02_Inputs'!D6*'02_Inputs'!D18</f>
        <v>3539400</v>
      </c>
      <c r="D5" s="15">
        <f>'02_Inputs'!D6*'02_Inputs'!D28</f>
        <v>3539400</v>
      </c>
      <c r="E5" s="15">
        <f>C5-D5</f>
        <v>0</v>
      </c>
      <c r="F5" s="6" t="s">
        <v>226</v>
      </c>
      <c r="G5" s="6" t="s">
        <v>46</v>
      </c>
      <c r="H5" s="6" t="s">
        <v>227</v>
      </c>
    </row>
    <row r="6" spans="1:26">
      <c r="A6" s="5" t="s">
        <v>228</v>
      </c>
      <c r="B6" s="5" t="s">
        <v>14</v>
      </c>
      <c r="C6" s="15">
        <f>'02_Inputs'!D19</f>
        <v>1635056</v>
      </c>
      <c r="D6" s="15">
        <f>'02_Inputs'!D29</f>
        <v>2350000</v>
      </c>
      <c r="E6" s="15">
        <f>D6-C6</f>
        <v>714944</v>
      </c>
      <c r="F6" s="6" t="s">
        <v>229</v>
      </c>
      <c r="G6" s="6" t="s">
        <v>230</v>
      </c>
      <c r="H6" s="6" t="s">
        <v>231</v>
      </c>
    </row>
    <row r="7" spans="1:26">
      <c r="A7" s="5" t="s">
        <v>168</v>
      </c>
      <c r="B7" s="5" t="s">
        <v>14</v>
      </c>
      <c r="C7" s="15">
        <f>'02_Inputs'!D20</f>
        <v>0</v>
      </c>
      <c r="D7" s="15">
        <f>'02_Inputs'!D30</f>
        <v>0</v>
      </c>
      <c r="E7" s="15">
        <f>D7-C7</f>
        <v>0</v>
      </c>
      <c r="F7" s="6" t="s">
        <v>229</v>
      </c>
      <c r="G7" s="6" t="s">
        <v>232</v>
      </c>
      <c r="H7" s="6" t="s">
        <v>233</v>
      </c>
    </row>
    <row r="8" spans="1:26">
      <c r="A8" s="5" t="s">
        <v>29</v>
      </c>
      <c r="B8" s="5" t="s">
        <v>93</v>
      </c>
      <c r="C8" s="24">
        <f>'02_Inputs'!D21</f>
        <v>0.5</v>
      </c>
      <c r="D8" s="24">
        <f>'02_Inputs'!D31</f>
        <v>0.85</v>
      </c>
      <c r="E8" s="24">
        <f>D8-C8</f>
        <v>0.35</v>
      </c>
      <c r="F8" s="6" t="s">
        <v>229</v>
      </c>
      <c r="G8" s="6" t="s">
        <v>234</v>
      </c>
      <c r="H8" s="6" t="s">
        <v>235</v>
      </c>
    </row>
    <row r="9" spans="1:26">
      <c r="A9" s="5" t="s">
        <v>236</v>
      </c>
      <c r="B9" s="5" t="s">
        <v>14</v>
      </c>
      <c r="C9" s="15">
        <f>'03_Baseline'!D12*(1-C8)</f>
        <v>1028000</v>
      </c>
      <c r="D9" s="15">
        <f>'03_Baseline'!D12*(1-D8)</f>
        <v>308400</v>
      </c>
      <c r="E9" s="15">
        <f>C9-D9</f>
        <v>719600</v>
      </c>
      <c r="F9" s="6" t="s">
        <v>237</v>
      </c>
      <c r="G9" s="6" t="s">
        <v>234</v>
      </c>
      <c r="H9" s="6" t="s">
        <v>238</v>
      </c>
    </row>
    <row r="10" spans="1:26">
      <c r="A10" s="5" t="s">
        <v>179</v>
      </c>
      <c r="B10" s="5" t="s">
        <v>180</v>
      </c>
      <c r="C10" s="15">
        <f>'02_Inputs'!D25</f>
        <v>0</v>
      </c>
      <c r="D10" s="15">
        <f>'02_Inputs'!D35</f>
        <v>0</v>
      </c>
      <c r="E10" s="15">
        <f>D10-C10</f>
        <v>0</v>
      </c>
      <c r="F10" s="6" t="s">
        <v>229</v>
      </c>
      <c r="G10" s="6" t="s">
        <v>239</v>
      </c>
      <c r="H10" s="6" t="s">
        <v>240</v>
      </c>
    </row>
    <row r="11" spans="1:26">
      <c r="A11" s="5" t="s">
        <v>241</v>
      </c>
      <c r="B11" s="5" t="s">
        <v>14</v>
      </c>
      <c r="C11" s="15">
        <f>C9*C10</f>
        <v>0</v>
      </c>
      <c r="D11" s="15">
        <f>D9*D10</f>
        <v>0</v>
      </c>
      <c r="E11" s="15">
        <f>C11-D11</f>
        <v>0</v>
      </c>
      <c r="F11" s="6" t="s">
        <v>242</v>
      </c>
      <c r="G11" s="6" t="s">
        <v>243</v>
      </c>
      <c r="H11" s="6" t="s">
        <v>244</v>
      </c>
    </row>
    <row r="12" spans="1:26">
      <c r="A12" s="5" t="s">
        <v>245</v>
      </c>
      <c r="B12" s="5" t="s">
        <v>14</v>
      </c>
      <c r="C12" s="15">
        <f>C9*(1-C10)</f>
        <v>1028000</v>
      </c>
      <c r="D12" s="15">
        <f>D9*(1-D10)</f>
        <v>308400</v>
      </c>
      <c r="E12" s="15">
        <f>D12-C12</f>
        <v>-719600</v>
      </c>
      <c r="F12" s="6" t="s">
        <v>246</v>
      </c>
      <c r="G12" s="6" t="s">
        <v>247</v>
      </c>
      <c r="H12" s="6" t="s">
        <v>248</v>
      </c>
    </row>
    <row r="13" spans="1:26">
      <c r="A13" s="5" t="s">
        <v>249</v>
      </c>
      <c r="B13" s="5" t="s">
        <v>14</v>
      </c>
      <c r="C13" s="15">
        <f>'02_Inputs'!D6*'02_Inputs'!D22</f>
        <v>406666.666666667</v>
      </c>
      <c r="D13" s="15">
        <f>'02_Inputs'!D6*'02_Inputs'!D32</f>
        <v>286575</v>
      </c>
      <c r="E13" s="15">
        <f>C13-D13</f>
        <v>120091.666666667</v>
      </c>
      <c r="F13" s="6" t="s">
        <v>250</v>
      </c>
      <c r="G13" s="6" t="s">
        <v>243</v>
      </c>
      <c r="H13" s="6" t="s">
        <v>244</v>
      </c>
    </row>
    <row r="14" spans="1:26">
      <c r="A14" s="5" t="s">
        <v>251</v>
      </c>
      <c r="B14" s="5" t="s">
        <v>14</v>
      </c>
      <c r="C14" s="15">
        <f>'02_Inputs'!D23</f>
        <v>152500</v>
      </c>
      <c r="D14" s="15">
        <f>'02_Inputs'!D33</f>
        <v>334337.5</v>
      </c>
      <c r="E14" s="15">
        <f>C14-D14</f>
        <v>-181837.5</v>
      </c>
      <c r="F14" s="6" t="s">
        <v>229</v>
      </c>
      <c r="G14" s="6" t="s">
        <v>243</v>
      </c>
      <c r="H14" s="6" t="s">
        <v>244</v>
      </c>
    </row>
    <row r="15" spans="1:26">
      <c r="A15" s="5" t="s">
        <v>252</v>
      </c>
      <c r="B15" s="5" t="s">
        <v>14</v>
      </c>
      <c r="C15" s="15">
        <f>'02_Inputs'!D24</f>
        <v>50833.3333333333</v>
      </c>
      <c r="D15" s="15">
        <f>'02_Inputs'!D34</f>
        <v>143287.5</v>
      </c>
      <c r="E15" s="15">
        <f>C15-D15</f>
        <v>-92454.1666666667</v>
      </c>
      <c r="F15" s="6" t="s">
        <v>229</v>
      </c>
      <c r="G15" s="6" t="s">
        <v>243</v>
      </c>
      <c r="H15" s="6" t="s">
        <v>244</v>
      </c>
    </row>
    <row r="16" spans="1:26">
      <c r="A16" s="25" t="s">
        <v>45</v>
      </c>
      <c r="B16" s="25" t="s">
        <v>14</v>
      </c>
      <c r="C16" s="26">
        <f>C6+C7</f>
        <v>1635056</v>
      </c>
      <c r="D16" s="26">
        <f>D6+D7</f>
        <v>2350000</v>
      </c>
      <c r="E16" s="26">
        <f>D16-C16</f>
        <v>714944</v>
      </c>
      <c r="F16" s="27" t="s">
        <v>253</v>
      </c>
      <c r="G16" s="27" t="s">
        <v>46</v>
      </c>
      <c r="H16" s="27" t="s">
        <v>254</v>
      </c>
    </row>
    <row r="17" spans="1:8">
      <c r="A17" s="25" t="s">
        <v>48</v>
      </c>
      <c r="B17" s="25" t="s">
        <v>14</v>
      </c>
      <c r="C17" s="26">
        <f>C11+C13+C14+C15</f>
        <v>610000</v>
      </c>
      <c r="D17" s="26">
        <f>D11+D13+D14+D15</f>
        <v>764200</v>
      </c>
      <c r="E17" s="26">
        <f>C17-D17</f>
        <v>-154200</v>
      </c>
      <c r="F17" s="27" t="s">
        <v>255</v>
      </c>
      <c r="G17" s="27" t="s">
        <v>46</v>
      </c>
      <c r="H17" s="27" t="s">
        <v>256</v>
      </c>
    </row>
    <row r="18" spans="1:8">
      <c r="A18" s="25" t="s">
        <v>54</v>
      </c>
      <c r="B18" s="25" t="s">
        <v>14</v>
      </c>
      <c r="C18" s="26">
        <f>C16-C17</f>
        <v>1025056</v>
      </c>
      <c r="D18" s="26">
        <f>D16-D17</f>
        <v>1585800</v>
      </c>
      <c r="E18" s="26">
        <f>D18-C18</f>
        <v>560744</v>
      </c>
      <c r="F18" s="27" t="s">
        <v>257</v>
      </c>
      <c r="G18" s="27" t="s">
        <v>46</v>
      </c>
      <c r="H18" s="27" t="s">
        <v>258</v>
      </c>
    </row>
    <row r="19" spans="1:8">
      <c r="A19" s="25" t="s">
        <v>39</v>
      </c>
      <c r="B19" s="25" t="s">
        <v>14</v>
      </c>
      <c r="C19" s="26">
        <f>C12+C6+'02_Inputs'!D17</f>
        <v>2663056</v>
      </c>
      <c r="D19" s="26">
        <f>D12+D6+'02_Inputs'!D17</f>
        <v>2658400</v>
      </c>
      <c r="E19" s="26">
        <f>C19-D19</f>
        <v>4656</v>
      </c>
      <c r="F19" s="27" t="s">
        <v>259</v>
      </c>
      <c r="G19" s="27" t="s">
        <v>41</v>
      </c>
      <c r="H19" s="27" t="s">
        <v>260</v>
      </c>
    </row>
    <row r="20" spans="1:8">
      <c r="A20" s="25" t="s">
        <v>43</v>
      </c>
      <c r="B20" s="25" t="s">
        <v>14</v>
      </c>
      <c r="C20" s="26">
        <f>'03_Baseline'!D15-C19</f>
        <v>2944</v>
      </c>
      <c r="D20" s="26">
        <f>'03_Baseline'!D15-D19</f>
        <v>7600</v>
      </c>
      <c r="E20" s="26">
        <f>D20-C20</f>
        <v>4656</v>
      </c>
      <c r="F20" s="27" t="s">
        <v>261</v>
      </c>
      <c r="G20" s="27" t="s">
        <v>41</v>
      </c>
      <c r="H20" s="27" t="s">
        <v>262</v>
      </c>
    </row>
    <row r="21" spans="1:8">
      <c r="A21" s="25" t="s">
        <v>102</v>
      </c>
      <c r="B21" s="25" t="s">
        <v>93</v>
      </c>
      <c r="C21" s="28">
        <f>C20/'03_Baseline'!D15</f>
        <v>0.00110427606901725</v>
      </c>
      <c r="D21" s="28">
        <f>D20/'03_Baseline'!D15</f>
        <v>0.00285071267816954</v>
      </c>
      <c r="E21" s="28">
        <f>D21-C21</f>
        <v>0.00174643660915229</v>
      </c>
      <c r="F21" s="27" t="s">
        <v>103</v>
      </c>
      <c r="G21" s="27" t="s">
        <v>41</v>
      </c>
      <c r="H21" s="27" t="s">
        <v>263</v>
      </c>
    </row>
  </sheetData>
  <mergeCells count="2">
    <mergeCell ref="A1:H1"/>
    <mergeCell ref="A2:H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3"/>
  <sheetViews>
    <sheetView workbookViewId="0">
      <selection activeCell="A1" sqref="A1:M1"/>
    </sheetView>
  </sheetViews>
  <sheetFormatPr defaultColWidth="9" defaultRowHeight="16.8"/>
  <cols>
    <col min="1" max="1" width="26" customWidth="1"/>
    <col min="2" max="2" width="34" customWidth="1"/>
    <col min="3" max="13" width="13" customWidth="1"/>
  </cols>
  <sheetData>
    <row r="1" ht="26" customHeight="1" spans="1:26">
      <c r="A1" s="1" t="s">
        <v>264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 t="s">
        <v>265</v>
      </c>
    </row>
    <row r="4" spans="1:26">
      <c r="A4" s="4" t="s">
        <v>116</v>
      </c>
      <c r="B4" s="4" t="s">
        <v>84</v>
      </c>
      <c r="C4" s="4" t="s">
        <v>266</v>
      </c>
      <c r="D4" s="4" t="s">
        <v>267</v>
      </c>
      <c r="E4" s="4" t="s">
        <v>268</v>
      </c>
      <c r="F4" s="4" t="s">
        <v>269</v>
      </c>
      <c r="G4" s="4" t="s">
        <v>270</v>
      </c>
      <c r="H4" s="4" t="s">
        <v>271</v>
      </c>
      <c r="I4" s="4" t="s">
        <v>272</v>
      </c>
      <c r="J4" s="4" t="s">
        <v>273</v>
      </c>
      <c r="K4" s="4" t="s">
        <v>274</v>
      </c>
      <c r="L4" s="4" t="s">
        <v>275</v>
      </c>
      <c r="M4" s="4" t="s">
        <v>276</v>
      </c>
    </row>
    <row r="5" spans="1:26">
      <c r="A5" s="13" t="s">
        <v>277</v>
      </c>
      <c r="B5" s="13" t="s">
        <v>7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</row>
    <row r="6" spans="1:26">
      <c r="A6" s="5" t="s">
        <v>278</v>
      </c>
      <c r="B6" s="5" t="s">
        <v>13</v>
      </c>
      <c r="C6" s="9">
        <f>0</f>
        <v>0</v>
      </c>
      <c r="D6" s="9">
        <f>'03_Baseline'!$D$12*(1+'02_Inputs'!$D$14)^(1-1)</f>
        <v>2056000</v>
      </c>
      <c r="E6" s="9">
        <f>'03_Baseline'!$D$12*(1+'02_Inputs'!$D$14)^(2-1)</f>
        <v>2056000</v>
      </c>
      <c r="F6" s="9">
        <f>'03_Baseline'!$D$12*(1+'02_Inputs'!$D$14)^(3-1)</f>
        <v>2056000</v>
      </c>
      <c r="G6" s="9">
        <f>'03_Baseline'!$D$12*(1+'02_Inputs'!$D$14)^(4-1)</f>
        <v>2056000</v>
      </c>
      <c r="H6" s="9">
        <f>'03_Baseline'!$D$12*(1+'02_Inputs'!$D$14)^(5-1)</f>
        <v>2056000</v>
      </c>
      <c r="I6" s="9">
        <f>'03_Baseline'!$D$12*(1+'02_Inputs'!$D$14)^(6-1)</f>
        <v>2056000</v>
      </c>
      <c r="J6" s="9">
        <f>'03_Baseline'!$D$12*(1+'02_Inputs'!$D$14)^(7-1)</f>
        <v>2056000</v>
      </c>
      <c r="K6" s="9">
        <f>'03_Baseline'!$D$12*(1+'02_Inputs'!$D$14)^(8-1)</f>
        <v>2056000</v>
      </c>
      <c r="L6" s="9">
        <f>'03_Baseline'!$D$12*(1+'02_Inputs'!$D$14)^(9-1)</f>
        <v>2056000</v>
      </c>
      <c r="M6" s="9">
        <f>'03_Baseline'!$D$12*(1+'02_Inputs'!$D$14)^(10-1)</f>
        <v>2056000</v>
      </c>
    </row>
    <row r="7" spans="1:26">
      <c r="A7" s="5" t="s">
        <v>278</v>
      </c>
      <c r="B7" s="5" t="s">
        <v>15</v>
      </c>
      <c r="C7" s="9">
        <f>0</f>
        <v>0</v>
      </c>
      <c r="D7" s="9">
        <f>'03_Baseline'!$D$14*(1+'02_Inputs'!$D$15)^(1-1)</f>
        <v>610000</v>
      </c>
      <c r="E7" s="9">
        <f>'03_Baseline'!$D$14*(1+'02_Inputs'!$D$15)^(2-1)</f>
        <v>610000</v>
      </c>
      <c r="F7" s="9">
        <f>'03_Baseline'!$D$14*(1+'02_Inputs'!$D$15)^(3-1)</f>
        <v>610000</v>
      </c>
      <c r="G7" s="9">
        <f>'03_Baseline'!$D$14*(1+'02_Inputs'!$D$15)^(4-1)</f>
        <v>610000</v>
      </c>
      <c r="H7" s="9">
        <f>'03_Baseline'!$D$14*(1+'02_Inputs'!$D$15)^(5-1)</f>
        <v>610000</v>
      </c>
      <c r="I7" s="9">
        <f>'03_Baseline'!$D$14*(1+'02_Inputs'!$D$15)^(6-1)</f>
        <v>610000</v>
      </c>
      <c r="J7" s="9">
        <f>'03_Baseline'!$D$14*(1+'02_Inputs'!$D$15)^(7-1)</f>
        <v>610000</v>
      </c>
      <c r="K7" s="9">
        <f>'03_Baseline'!$D$14*(1+'02_Inputs'!$D$15)^(8-1)</f>
        <v>610000</v>
      </c>
      <c r="L7" s="9">
        <f>'03_Baseline'!$D$14*(1+'02_Inputs'!$D$15)^(9-1)</f>
        <v>610000</v>
      </c>
      <c r="M7" s="9">
        <f>'03_Baseline'!$D$14*(1+'02_Inputs'!$D$15)^(10-1)</f>
        <v>610000</v>
      </c>
    </row>
    <row r="8" spans="1:26">
      <c r="A8" s="5" t="s">
        <v>278</v>
      </c>
      <c r="B8" s="5" t="s">
        <v>79</v>
      </c>
      <c r="C8" s="9">
        <f>0</f>
        <v>0</v>
      </c>
      <c r="D8" s="9">
        <f t="shared" ref="D8:M8" si="0">D6+D7</f>
        <v>2666000</v>
      </c>
      <c r="E8" s="9">
        <f t="shared" si="0"/>
        <v>2666000</v>
      </c>
      <c r="F8" s="9">
        <f t="shared" si="0"/>
        <v>2666000</v>
      </c>
      <c r="G8" s="9">
        <f t="shared" si="0"/>
        <v>2666000</v>
      </c>
      <c r="H8" s="9">
        <f t="shared" si="0"/>
        <v>2666000</v>
      </c>
      <c r="I8" s="9">
        <f t="shared" si="0"/>
        <v>2666000</v>
      </c>
      <c r="J8" s="9">
        <f t="shared" si="0"/>
        <v>2666000</v>
      </c>
      <c r="K8" s="9">
        <f t="shared" si="0"/>
        <v>2666000</v>
      </c>
      <c r="L8" s="9">
        <f t="shared" si="0"/>
        <v>2666000</v>
      </c>
      <c r="M8" s="9">
        <f t="shared" si="0"/>
        <v>2666000</v>
      </c>
    </row>
    <row r="9" spans="1:26">
      <c r="A9" s="5" t="s">
        <v>278</v>
      </c>
      <c r="B9" s="5" t="s">
        <v>279</v>
      </c>
      <c r="C9" s="9">
        <f>0</f>
        <v>0</v>
      </c>
      <c r="D9" s="9">
        <f>'02_Inputs'!$D$7*(1+'02_Inputs'!$D$16)^(1-1)</f>
        <v>2342300</v>
      </c>
      <c r="E9" s="9">
        <f>'02_Inputs'!$D$7*(1+'02_Inputs'!$D$16)^(2-1)</f>
        <v>2342300</v>
      </c>
      <c r="F9" s="9">
        <f>'02_Inputs'!$D$7*(1+'02_Inputs'!$D$16)^(3-1)</f>
        <v>2342300</v>
      </c>
      <c r="G9" s="9">
        <f>'02_Inputs'!$D$7*(1+'02_Inputs'!$D$16)^(4-1)</f>
        <v>2342300</v>
      </c>
      <c r="H9" s="9">
        <f>'02_Inputs'!$D$7*(1+'02_Inputs'!$D$16)^(5-1)</f>
        <v>2342300</v>
      </c>
      <c r="I9" s="9">
        <f>'02_Inputs'!$D$7*(1+'02_Inputs'!$D$16)^(6-1)</f>
        <v>2342300</v>
      </c>
      <c r="J9" s="9">
        <f>'02_Inputs'!$D$7*(1+'02_Inputs'!$D$16)^(7-1)</f>
        <v>2342300</v>
      </c>
      <c r="K9" s="9">
        <f>'02_Inputs'!$D$7*(1+'02_Inputs'!$D$16)^(8-1)</f>
        <v>2342300</v>
      </c>
      <c r="L9" s="9">
        <f>'02_Inputs'!$D$7*(1+'02_Inputs'!$D$16)^(9-1)</f>
        <v>2342300</v>
      </c>
      <c r="M9" s="9">
        <f>'02_Inputs'!$D$7*(1+'02_Inputs'!$D$16)^(10-1)</f>
        <v>2342300</v>
      </c>
    </row>
    <row r="10" spans="1:26">
      <c r="A10" s="5" t="s">
        <v>7</v>
      </c>
      <c r="B10" s="5" t="s">
        <v>7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26">
      <c r="A11" s="13" t="s">
        <v>280</v>
      </c>
      <c r="B11" s="13" t="s">
        <v>7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26">
      <c r="A12" s="5" t="s">
        <v>281</v>
      </c>
      <c r="B12" s="5" t="s">
        <v>282</v>
      </c>
      <c r="C12" s="15">
        <f>'04_Mode_Params'!$C$5</f>
        <v>3539400</v>
      </c>
      <c r="D12" s="15">
        <f t="shared" ref="D12:M12" si="1">0</f>
        <v>0</v>
      </c>
      <c r="E12" s="15">
        <f t="shared" si="1"/>
        <v>0</v>
      </c>
      <c r="F12" s="15">
        <f t="shared" si="1"/>
        <v>0</v>
      </c>
      <c r="G12" s="15">
        <f t="shared" si="1"/>
        <v>0</v>
      </c>
      <c r="H12" s="15">
        <f t="shared" si="1"/>
        <v>0</v>
      </c>
      <c r="I12" s="15">
        <f t="shared" si="1"/>
        <v>0</v>
      </c>
      <c r="J12" s="15">
        <f t="shared" si="1"/>
        <v>0</v>
      </c>
      <c r="K12" s="15">
        <f t="shared" si="1"/>
        <v>0</v>
      </c>
      <c r="L12" s="15">
        <f t="shared" si="1"/>
        <v>0</v>
      </c>
      <c r="M12" s="15">
        <f t="shared" si="1"/>
        <v>0</v>
      </c>
    </row>
    <row r="13" spans="1:26">
      <c r="A13" s="5" t="s">
        <v>281</v>
      </c>
      <c r="B13" s="5" t="s">
        <v>165</v>
      </c>
      <c r="C13" s="9">
        <f t="shared" ref="C13:C21" si="2">0</f>
        <v>0</v>
      </c>
      <c r="D13" s="9">
        <f>'04_Mode_Params'!$C$6*(1+'02_Inputs'!$D$16)^(1-1)</f>
        <v>1635056</v>
      </c>
      <c r="E13" s="9">
        <f>'04_Mode_Params'!$C$6*(1+'02_Inputs'!$D$16)^(2-1)</f>
        <v>1635056</v>
      </c>
      <c r="F13" s="9">
        <f>'04_Mode_Params'!$C$6*(1+'02_Inputs'!$D$16)^(3-1)</f>
        <v>1635056</v>
      </c>
      <c r="G13" s="9">
        <f>'04_Mode_Params'!$C$6*(1+'02_Inputs'!$D$16)^(4-1)</f>
        <v>1635056</v>
      </c>
      <c r="H13" s="9">
        <f>'04_Mode_Params'!$C$6*(1+'02_Inputs'!$D$16)^(5-1)</f>
        <v>1635056</v>
      </c>
      <c r="I13" s="9">
        <f>'04_Mode_Params'!$C$6*(1+'02_Inputs'!$D$16)^(6-1)</f>
        <v>1635056</v>
      </c>
      <c r="J13" s="9">
        <f>'04_Mode_Params'!$C$6*(1+'02_Inputs'!$D$16)^(7-1)</f>
        <v>1635056</v>
      </c>
      <c r="K13" s="9">
        <f>'04_Mode_Params'!$C$6*(1+'02_Inputs'!$D$16)^(8-1)</f>
        <v>1635056</v>
      </c>
      <c r="L13" s="9">
        <f>'04_Mode_Params'!$C$6*(1+'02_Inputs'!$D$16)^(9-1)</f>
        <v>1635056</v>
      </c>
      <c r="M13" s="9">
        <f>'04_Mode_Params'!$C$6*(1+'02_Inputs'!$D$16)^(10-1)</f>
        <v>1635056</v>
      </c>
    </row>
    <row r="14" spans="1:26">
      <c r="A14" s="5" t="s">
        <v>281</v>
      </c>
      <c r="B14" s="5" t="s">
        <v>168</v>
      </c>
      <c r="C14" s="9">
        <f t="shared" si="2"/>
        <v>0</v>
      </c>
      <c r="D14" s="9">
        <f>'04_Mode_Params'!$C$7*(1+'02_Inputs'!$D$16)^(1-1)</f>
        <v>0</v>
      </c>
      <c r="E14" s="9">
        <f>'04_Mode_Params'!$C$7*(1+'02_Inputs'!$D$16)^(2-1)</f>
        <v>0</v>
      </c>
      <c r="F14" s="9">
        <f>'04_Mode_Params'!$C$7*(1+'02_Inputs'!$D$16)^(3-1)</f>
        <v>0</v>
      </c>
      <c r="G14" s="9">
        <f>'04_Mode_Params'!$C$7*(1+'02_Inputs'!$D$16)^(4-1)</f>
        <v>0</v>
      </c>
      <c r="H14" s="9">
        <f>'04_Mode_Params'!$C$7*(1+'02_Inputs'!$D$16)^(5-1)</f>
        <v>0</v>
      </c>
      <c r="I14" s="9">
        <f>'04_Mode_Params'!$C$7*(1+'02_Inputs'!$D$16)^(6-1)</f>
        <v>0</v>
      </c>
      <c r="J14" s="9">
        <f>'04_Mode_Params'!$C$7*(1+'02_Inputs'!$D$16)^(7-1)</f>
        <v>0</v>
      </c>
      <c r="K14" s="9">
        <f>'04_Mode_Params'!$C$7*(1+'02_Inputs'!$D$16)^(8-1)</f>
        <v>0</v>
      </c>
      <c r="L14" s="9">
        <f>'04_Mode_Params'!$C$7*(1+'02_Inputs'!$D$16)^(9-1)</f>
        <v>0</v>
      </c>
      <c r="M14" s="9">
        <f>'04_Mode_Params'!$C$7*(1+'02_Inputs'!$D$16)^(10-1)</f>
        <v>0</v>
      </c>
    </row>
    <row r="15" spans="1:26">
      <c r="A15" s="5" t="s">
        <v>281</v>
      </c>
      <c r="B15" s="5" t="s">
        <v>187</v>
      </c>
      <c r="C15" s="9">
        <f t="shared" si="2"/>
        <v>0</v>
      </c>
      <c r="D15" s="9">
        <f>IF(AND(1='02_Inputs'!$D$26,1&gt;0),'02_Inputs'!$D$27,0)</f>
        <v>0</v>
      </c>
      <c r="E15" s="9">
        <f>IF(AND(2='02_Inputs'!$D$26,2&gt;0),'02_Inputs'!$D$27,0)</f>
        <v>0</v>
      </c>
      <c r="F15" s="9">
        <f>IF(AND(3='02_Inputs'!$D$26,3&gt;0),'02_Inputs'!$D$27,0)</f>
        <v>0</v>
      </c>
      <c r="G15" s="9">
        <f>IF(AND(4='02_Inputs'!$D$26,4&gt;0),'02_Inputs'!$D$27,0)</f>
        <v>0</v>
      </c>
      <c r="H15" s="9">
        <f>IF(AND(5='02_Inputs'!$D$26,5&gt;0),'02_Inputs'!$D$27,0)</f>
        <v>0</v>
      </c>
      <c r="I15" s="9">
        <f>IF(AND(6='02_Inputs'!$D$26,6&gt;0),'02_Inputs'!$D$27,0)</f>
        <v>0</v>
      </c>
      <c r="J15" s="9">
        <f>IF(AND(7='02_Inputs'!$D$26,7&gt;0),'02_Inputs'!$D$27,0)</f>
        <v>0</v>
      </c>
      <c r="K15" s="9">
        <f>IF(AND(8='02_Inputs'!$D$26,8&gt;0),'02_Inputs'!$D$27,0)</f>
        <v>0</v>
      </c>
      <c r="L15" s="9">
        <f>IF(AND(9='02_Inputs'!$D$26,9&gt;0),'02_Inputs'!$D$27,0)</f>
        <v>0</v>
      </c>
      <c r="M15" s="9">
        <f>IF(AND(10='02_Inputs'!$D$26,10&gt;0),'02_Inputs'!$D$27,0)</f>
        <v>0</v>
      </c>
    </row>
    <row r="16" spans="1:26">
      <c r="A16" s="5" t="s">
        <v>281</v>
      </c>
      <c r="B16" s="5" t="s">
        <v>283</v>
      </c>
      <c r="C16" s="9">
        <f t="shared" si="2"/>
        <v>0</v>
      </c>
      <c r="D16" s="9">
        <f>D6*(1-'04_Mode_Params'!$C$8)</f>
        <v>1028000</v>
      </c>
      <c r="E16" s="9">
        <f>E6*(1-'04_Mode_Params'!$C$8)</f>
        <v>1028000</v>
      </c>
      <c r="F16" s="9">
        <f>F6*(1-'04_Mode_Params'!$C$8)</f>
        <v>1028000</v>
      </c>
      <c r="G16" s="9">
        <f>G6*(1-'04_Mode_Params'!$C$8)</f>
        <v>1028000</v>
      </c>
      <c r="H16" s="9">
        <f>H6*(1-'04_Mode_Params'!$C$8)</f>
        <v>1028000</v>
      </c>
      <c r="I16" s="9">
        <f>I6*(1-'04_Mode_Params'!$C$8)</f>
        <v>1028000</v>
      </c>
      <c r="J16" s="9">
        <f>J6*(1-'04_Mode_Params'!$C$8)</f>
        <v>1028000</v>
      </c>
      <c r="K16" s="9">
        <f>K6*(1-'04_Mode_Params'!$C$8)</f>
        <v>1028000</v>
      </c>
      <c r="L16" s="9">
        <f>L6*(1-'04_Mode_Params'!$C$8)</f>
        <v>1028000</v>
      </c>
      <c r="M16" s="9">
        <f>M6*(1-'04_Mode_Params'!$C$8)</f>
        <v>1028000</v>
      </c>
    </row>
    <row r="17" spans="1:13">
      <c r="A17" s="5" t="s">
        <v>281</v>
      </c>
      <c r="B17" s="5" t="s">
        <v>284</v>
      </c>
      <c r="C17" s="15">
        <f t="shared" si="2"/>
        <v>0</v>
      </c>
      <c r="D17" s="15">
        <f>D16*'04_Mode_Params'!$C$10</f>
        <v>0</v>
      </c>
      <c r="E17" s="15">
        <f>E16*'04_Mode_Params'!$C$10</f>
        <v>0</v>
      </c>
      <c r="F17" s="15">
        <f>F16*'04_Mode_Params'!$C$10</f>
        <v>0</v>
      </c>
      <c r="G17" s="15">
        <f>G16*'04_Mode_Params'!$C$10</f>
        <v>0</v>
      </c>
      <c r="H17" s="15">
        <f>H16*'04_Mode_Params'!$C$10</f>
        <v>0</v>
      </c>
      <c r="I17" s="15">
        <f>I16*'04_Mode_Params'!$C$10</f>
        <v>0</v>
      </c>
      <c r="J17" s="15">
        <f>J16*'04_Mode_Params'!$C$10</f>
        <v>0</v>
      </c>
      <c r="K17" s="15">
        <f>K16*'04_Mode_Params'!$C$10</f>
        <v>0</v>
      </c>
      <c r="L17" s="15">
        <f>L16*'04_Mode_Params'!$C$10</f>
        <v>0</v>
      </c>
      <c r="M17" s="15">
        <f>M16*'04_Mode_Params'!$C$10</f>
        <v>0</v>
      </c>
    </row>
    <row r="18" spans="1:13">
      <c r="A18" s="5" t="s">
        <v>281</v>
      </c>
      <c r="B18" s="5" t="s">
        <v>285</v>
      </c>
      <c r="C18" s="15">
        <f t="shared" si="2"/>
        <v>0</v>
      </c>
      <c r="D18" s="15">
        <f>'04_Mode_Params'!$C$13*(1+'02_Inputs'!$D$15)^(1-1)</f>
        <v>406666.666666667</v>
      </c>
      <c r="E18" s="15">
        <f>'04_Mode_Params'!$C$13*(1+'02_Inputs'!$D$15)^(2-1)</f>
        <v>406666.666666667</v>
      </c>
      <c r="F18" s="15">
        <f>'04_Mode_Params'!$C$13*(1+'02_Inputs'!$D$15)^(3-1)</f>
        <v>406666.666666667</v>
      </c>
      <c r="G18" s="15">
        <f>'04_Mode_Params'!$C$13*(1+'02_Inputs'!$D$15)^(4-1)</f>
        <v>406666.666666667</v>
      </c>
      <c r="H18" s="15">
        <f>'04_Mode_Params'!$C$13*(1+'02_Inputs'!$D$15)^(5-1)</f>
        <v>406666.666666667</v>
      </c>
      <c r="I18" s="15">
        <f>'04_Mode_Params'!$C$13*(1+'02_Inputs'!$D$15)^(6-1)</f>
        <v>406666.666666667</v>
      </c>
      <c r="J18" s="15">
        <f>'04_Mode_Params'!$C$13*(1+'02_Inputs'!$D$15)^(7-1)</f>
        <v>406666.666666667</v>
      </c>
      <c r="K18" s="15">
        <f>'04_Mode_Params'!$C$13*(1+'02_Inputs'!$D$15)^(8-1)</f>
        <v>406666.666666667</v>
      </c>
      <c r="L18" s="15">
        <f>'04_Mode_Params'!$C$13*(1+'02_Inputs'!$D$15)^(9-1)</f>
        <v>406666.666666667</v>
      </c>
      <c r="M18" s="15">
        <f>'04_Mode_Params'!$C$13*(1+'02_Inputs'!$D$15)^(10-1)</f>
        <v>406666.666666667</v>
      </c>
    </row>
    <row r="19" spans="1:13">
      <c r="A19" s="5" t="s">
        <v>281</v>
      </c>
      <c r="B19" s="5" t="s">
        <v>286</v>
      </c>
      <c r="C19" s="15">
        <f t="shared" si="2"/>
        <v>0</v>
      </c>
      <c r="D19" s="15">
        <f>'04_Mode_Params'!$C$14*(1+'02_Inputs'!$D$15)^(1-1)</f>
        <v>152500</v>
      </c>
      <c r="E19" s="15">
        <f>'04_Mode_Params'!$C$14*(1+'02_Inputs'!$D$15)^(2-1)</f>
        <v>152500</v>
      </c>
      <c r="F19" s="15">
        <f>'04_Mode_Params'!$C$14*(1+'02_Inputs'!$D$15)^(3-1)</f>
        <v>152500</v>
      </c>
      <c r="G19" s="15">
        <f>'04_Mode_Params'!$C$14*(1+'02_Inputs'!$D$15)^(4-1)</f>
        <v>152500</v>
      </c>
      <c r="H19" s="15">
        <f>'04_Mode_Params'!$C$14*(1+'02_Inputs'!$D$15)^(5-1)</f>
        <v>152500</v>
      </c>
      <c r="I19" s="15">
        <f>'04_Mode_Params'!$C$14*(1+'02_Inputs'!$D$15)^(6-1)</f>
        <v>152500</v>
      </c>
      <c r="J19" s="15">
        <f>'04_Mode_Params'!$C$14*(1+'02_Inputs'!$D$15)^(7-1)</f>
        <v>152500</v>
      </c>
      <c r="K19" s="15">
        <f>'04_Mode_Params'!$C$14*(1+'02_Inputs'!$D$15)^(8-1)</f>
        <v>152500</v>
      </c>
      <c r="L19" s="15">
        <f>'04_Mode_Params'!$C$14*(1+'02_Inputs'!$D$15)^(9-1)</f>
        <v>152500</v>
      </c>
      <c r="M19" s="15">
        <f>'04_Mode_Params'!$C$14*(1+'02_Inputs'!$D$15)^(10-1)</f>
        <v>152500</v>
      </c>
    </row>
    <row r="20" spans="1:13">
      <c r="A20" s="5" t="s">
        <v>281</v>
      </c>
      <c r="B20" s="5" t="s">
        <v>287</v>
      </c>
      <c r="C20" s="15">
        <f t="shared" si="2"/>
        <v>0</v>
      </c>
      <c r="D20" s="15">
        <f>'04_Mode_Params'!$C$15*(1+'02_Inputs'!$D$15)^(1-1)</f>
        <v>50833.3333333333</v>
      </c>
      <c r="E20" s="15">
        <f>'04_Mode_Params'!$C$15*(1+'02_Inputs'!$D$15)^(2-1)</f>
        <v>50833.3333333333</v>
      </c>
      <c r="F20" s="15">
        <f>'04_Mode_Params'!$C$15*(1+'02_Inputs'!$D$15)^(3-1)</f>
        <v>50833.3333333333</v>
      </c>
      <c r="G20" s="15">
        <f>'04_Mode_Params'!$C$15*(1+'02_Inputs'!$D$15)^(4-1)</f>
        <v>50833.3333333333</v>
      </c>
      <c r="H20" s="15">
        <f>'04_Mode_Params'!$C$15*(1+'02_Inputs'!$D$15)^(5-1)</f>
        <v>50833.3333333333</v>
      </c>
      <c r="I20" s="15">
        <f>'04_Mode_Params'!$C$15*(1+'02_Inputs'!$D$15)^(6-1)</f>
        <v>50833.3333333333</v>
      </c>
      <c r="J20" s="15">
        <f>'04_Mode_Params'!$C$15*(1+'02_Inputs'!$D$15)^(7-1)</f>
        <v>50833.3333333333</v>
      </c>
      <c r="K20" s="15">
        <f>'04_Mode_Params'!$C$15*(1+'02_Inputs'!$D$15)^(8-1)</f>
        <v>50833.3333333333</v>
      </c>
      <c r="L20" s="15">
        <f>'04_Mode_Params'!$C$15*(1+'02_Inputs'!$D$15)^(9-1)</f>
        <v>50833.3333333333</v>
      </c>
      <c r="M20" s="15">
        <f>'04_Mode_Params'!$C$15*(1+'02_Inputs'!$D$15)^(10-1)</f>
        <v>50833.3333333333</v>
      </c>
    </row>
    <row r="21" spans="1:13">
      <c r="A21" s="16" t="s">
        <v>281</v>
      </c>
      <c r="B21" s="16" t="s">
        <v>288</v>
      </c>
      <c r="C21" s="17">
        <f t="shared" si="2"/>
        <v>0</v>
      </c>
      <c r="D21" s="17">
        <f t="shared" ref="D21:M21" si="3">D13+D14+D15</f>
        <v>1635056</v>
      </c>
      <c r="E21" s="17">
        <f t="shared" si="3"/>
        <v>1635056</v>
      </c>
      <c r="F21" s="17">
        <f t="shared" si="3"/>
        <v>1635056</v>
      </c>
      <c r="G21" s="17">
        <f t="shared" si="3"/>
        <v>1635056</v>
      </c>
      <c r="H21" s="17">
        <f t="shared" si="3"/>
        <v>1635056</v>
      </c>
      <c r="I21" s="17">
        <f t="shared" si="3"/>
        <v>1635056</v>
      </c>
      <c r="J21" s="17">
        <f t="shared" si="3"/>
        <v>1635056</v>
      </c>
      <c r="K21" s="17">
        <f t="shared" si="3"/>
        <v>1635056</v>
      </c>
      <c r="L21" s="17">
        <f t="shared" si="3"/>
        <v>1635056</v>
      </c>
      <c r="M21" s="17">
        <f t="shared" si="3"/>
        <v>1635056</v>
      </c>
    </row>
    <row r="22" spans="1:13">
      <c r="A22" s="16" t="s">
        <v>281</v>
      </c>
      <c r="B22" s="16" t="s">
        <v>289</v>
      </c>
      <c r="C22" s="17">
        <f>C12</f>
        <v>3539400</v>
      </c>
      <c r="D22" s="17">
        <f t="shared" ref="D22:M22" si="4">D12+D17+D18+D19+D20</f>
        <v>610000</v>
      </c>
      <c r="E22" s="17">
        <f t="shared" si="4"/>
        <v>610000</v>
      </c>
      <c r="F22" s="17">
        <f t="shared" si="4"/>
        <v>610000</v>
      </c>
      <c r="G22" s="17">
        <f t="shared" si="4"/>
        <v>610000</v>
      </c>
      <c r="H22" s="17">
        <f t="shared" si="4"/>
        <v>610000</v>
      </c>
      <c r="I22" s="17">
        <f t="shared" si="4"/>
        <v>610000</v>
      </c>
      <c r="J22" s="17">
        <f t="shared" si="4"/>
        <v>610000</v>
      </c>
      <c r="K22" s="17">
        <f t="shared" si="4"/>
        <v>610000</v>
      </c>
      <c r="L22" s="17">
        <f t="shared" si="4"/>
        <v>610000</v>
      </c>
      <c r="M22" s="17">
        <f t="shared" si="4"/>
        <v>610000</v>
      </c>
    </row>
    <row r="23" spans="1:13">
      <c r="A23" s="16" t="s">
        <v>281</v>
      </c>
      <c r="B23" s="16" t="s">
        <v>290</v>
      </c>
      <c r="C23" s="17">
        <f t="shared" ref="C23:M23" si="5">C21-C22</f>
        <v>-3539400</v>
      </c>
      <c r="D23" s="17">
        <f t="shared" si="5"/>
        <v>1025056</v>
      </c>
      <c r="E23" s="17">
        <f t="shared" si="5"/>
        <v>1025056</v>
      </c>
      <c r="F23" s="17">
        <f t="shared" si="5"/>
        <v>1025056</v>
      </c>
      <c r="G23" s="17">
        <f t="shared" si="5"/>
        <v>1025056</v>
      </c>
      <c r="H23" s="17">
        <f t="shared" si="5"/>
        <v>1025056</v>
      </c>
      <c r="I23" s="17">
        <f t="shared" si="5"/>
        <v>1025056</v>
      </c>
      <c r="J23" s="17">
        <f t="shared" si="5"/>
        <v>1025056</v>
      </c>
      <c r="K23" s="17">
        <f t="shared" si="5"/>
        <v>1025056</v>
      </c>
      <c r="L23" s="17">
        <f t="shared" si="5"/>
        <v>1025056</v>
      </c>
      <c r="M23" s="17">
        <f t="shared" si="5"/>
        <v>1025056</v>
      </c>
    </row>
    <row r="24" spans="1:13">
      <c r="A24" s="16" t="s">
        <v>281</v>
      </c>
      <c r="B24" s="16" t="s">
        <v>291</v>
      </c>
      <c r="C24" s="17">
        <f>C23</f>
        <v>-3539400</v>
      </c>
      <c r="D24" s="17">
        <f t="shared" ref="D24:M24" si="6">C24+D23</f>
        <v>-2514344</v>
      </c>
      <c r="E24" s="17">
        <f t="shared" si="6"/>
        <v>-1489288</v>
      </c>
      <c r="F24" s="17">
        <f t="shared" si="6"/>
        <v>-464232</v>
      </c>
      <c r="G24" s="17">
        <f t="shared" si="6"/>
        <v>560824</v>
      </c>
      <c r="H24" s="17">
        <f t="shared" si="6"/>
        <v>1585880</v>
      </c>
      <c r="I24" s="17">
        <f t="shared" si="6"/>
        <v>2610936</v>
      </c>
      <c r="J24" s="17">
        <f t="shared" si="6"/>
        <v>3635992</v>
      </c>
      <c r="K24" s="17">
        <f t="shared" si="6"/>
        <v>4661048</v>
      </c>
      <c r="L24" s="17">
        <f t="shared" si="6"/>
        <v>5686104</v>
      </c>
      <c r="M24" s="17">
        <f t="shared" si="6"/>
        <v>6711160</v>
      </c>
    </row>
    <row r="25" spans="1:13">
      <c r="A25" s="5" t="s">
        <v>281</v>
      </c>
      <c r="B25" s="5" t="s">
        <v>63</v>
      </c>
      <c r="C25" s="18">
        <f>NPV('02_Inputs'!$D$13,D23:M23)+C23</f>
        <v>2252395.01661072</v>
      </c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>
      <c r="A26" s="5" t="s">
        <v>281</v>
      </c>
      <c r="B26" s="5" t="s">
        <v>65</v>
      </c>
      <c r="C26" s="19">
        <f>IFERROR(IRR(C23:M23),"n/a")</f>
        <v>0.261160922929116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spans="1:13">
      <c r="A27" s="5" t="s">
        <v>281</v>
      </c>
      <c r="B27" s="5" t="s">
        <v>95</v>
      </c>
      <c r="C27" s="21">
        <f>IF(C12=0,"n/a",SUM(C23:M23)/C12)</f>
        <v>1.89612928744985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spans="1:13">
      <c r="A28" s="5" t="s">
        <v>281</v>
      </c>
      <c r="B28" s="5" t="s">
        <v>97</v>
      </c>
      <c r="C28" s="22" t="str">
        <f>IF(M24&lt;0,"未回收",IF(C24&gt;=0,C$4,IF(D24&gt;=0,D$4,IF(E24&gt;=0,E$4,IF(F24&gt;=0,F$4,IF(G24&gt;=0,G$4,IF(H24&gt;=0,H$4,IF(I24&gt;=0,I$4,IF(J24&gt;=0,J$4,IF(K24&gt;=0,K$4,IF(L24&gt;=0,L$4,M$4)))))))))))</f>
        <v>Y4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spans="1:13">
      <c r="A29" s="5" t="s">
        <v>7</v>
      </c>
      <c r="B29" s="5" t="s">
        <v>7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</row>
    <row r="30" spans="1:13">
      <c r="A30" s="13" t="s">
        <v>292</v>
      </c>
      <c r="B30" s="13" t="s">
        <v>7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</row>
    <row r="31" spans="1:13">
      <c r="A31" s="5" t="s">
        <v>293</v>
      </c>
      <c r="B31" s="5" t="s">
        <v>245</v>
      </c>
      <c r="C31" s="9">
        <f t="shared" ref="C31:C36" si="7">0</f>
        <v>0</v>
      </c>
      <c r="D31" s="9">
        <f>D16*(1-'04_Mode_Params'!$C$10)</f>
        <v>1028000</v>
      </c>
      <c r="E31" s="9">
        <f>E16*(1-'04_Mode_Params'!$C$10)</f>
        <v>1028000</v>
      </c>
      <c r="F31" s="9">
        <f>F16*(1-'04_Mode_Params'!$C$10)</f>
        <v>1028000</v>
      </c>
      <c r="G31" s="9">
        <f>G16*(1-'04_Mode_Params'!$C$10)</f>
        <v>1028000</v>
      </c>
      <c r="H31" s="9">
        <f>H16*(1-'04_Mode_Params'!$C$10)</f>
        <v>1028000</v>
      </c>
      <c r="I31" s="9">
        <f>I16*(1-'04_Mode_Params'!$C$10)</f>
        <v>1028000</v>
      </c>
      <c r="J31" s="9">
        <f>J16*(1-'04_Mode_Params'!$C$10)</f>
        <v>1028000</v>
      </c>
      <c r="K31" s="9">
        <f>K16*(1-'04_Mode_Params'!$C$10)</f>
        <v>1028000</v>
      </c>
      <c r="L31" s="9">
        <f>L16*(1-'04_Mode_Params'!$C$10)</f>
        <v>1028000</v>
      </c>
      <c r="M31" s="9">
        <f>M16*(1-'04_Mode_Params'!$C$10)</f>
        <v>1028000</v>
      </c>
    </row>
    <row r="32" spans="1:13">
      <c r="A32" s="5" t="s">
        <v>293</v>
      </c>
      <c r="B32" s="5" t="s">
        <v>294</v>
      </c>
      <c r="C32" s="9">
        <f t="shared" si="7"/>
        <v>0</v>
      </c>
      <c r="D32" s="9">
        <f t="shared" ref="D32:M32" si="8">D13</f>
        <v>1635056</v>
      </c>
      <c r="E32" s="9">
        <f t="shared" si="8"/>
        <v>1635056</v>
      </c>
      <c r="F32" s="9">
        <f t="shared" si="8"/>
        <v>1635056</v>
      </c>
      <c r="G32" s="9">
        <f t="shared" si="8"/>
        <v>1635056</v>
      </c>
      <c r="H32" s="9">
        <f t="shared" si="8"/>
        <v>1635056</v>
      </c>
      <c r="I32" s="9">
        <f t="shared" si="8"/>
        <v>1635056</v>
      </c>
      <c r="J32" s="9">
        <f t="shared" si="8"/>
        <v>1635056</v>
      </c>
      <c r="K32" s="9">
        <f t="shared" si="8"/>
        <v>1635056</v>
      </c>
      <c r="L32" s="9">
        <f t="shared" si="8"/>
        <v>1635056</v>
      </c>
      <c r="M32" s="9">
        <f t="shared" si="8"/>
        <v>1635056</v>
      </c>
    </row>
    <row r="33" spans="1:13">
      <c r="A33" s="5" t="s">
        <v>293</v>
      </c>
      <c r="B33" s="5" t="s">
        <v>159</v>
      </c>
      <c r="C33" s="9">
        <f t="shared" si="7"/>
        <v>0</v>
      </c>
      <c r="D33" s="9">
        <f>'02_Inputs'!$D$17*(1+'02_Inputs'!$D$15)^(1-1)</f>
        <v>0</v>
      </c>
      <c r="E33" s="9">
        <f>'02_Inputs'!$D$17*(1+'02_Inputs'!$D$15)^(2-1)</f>
        <v>0</v>
      </c>
      <c r="F33" s="9">
        <f>'02_Inputs'!$D$17*(1+'02_Inputs'!$D$15)^(3-1)</f>
        <v>0</v>
      </c>
      <c r="G33" s="9">
        <f>'02_Inputs'!$D$17*(1+'02_Inputs'!$D$15)^(4-1)</f>
        <v>0</v>
      </c>
      <c r="H33" s="9">
        <f>'02_Inputs'!$D$17*(1+'02_Inputs'!$D$15)^(5-1)</f>
        <v>0</v>
      </c>
      <c r="I33" s="9">
        <f>'02_Inputs'!$D$17*(1+'02_Inputs'!$D$15)^(6-1)</f>
        <v>0</v>
      </c>
      <c r="J33" s="9">
        <f>'02_Inputs'!$D$17*(1+'02_Inputs'!$D$15)^(7-1)</f>
        <v>0</v>
      </c>
      <c r="K33" s="9">
        <f>'02_Inputs'!$D$17*(1+'02_Inputs'!$D$15)^(8-1)</f>
        <v>0</v>
      </c>
      <c r="L33" s="9">
        <f>'02_Inputs'!$D$17*(1+'02_Inputs'!$D$15)^(9-1)</f>
        <v>0</v>
      </c>
      <c r="M33" s="9">
        <f>'02_Inputs'!$D$17*(1+'02_Inputs'!$D$15)^(10-1)</f>
        <v>0</v>
      </c>
    </row>
    <row r="34" spans="1:13">
      <c r="A34" s="16" t="s">
        <v>293</v>
      </c>
      <c r="B34" s="16" t="s">
        <v>39</v>
      </c>
      <c r="C34" s="17">
        <f t="shared" si="7"/>
        <v>0</v>
      </c>
      <c r="D34" s="17">
        <f t="shared" ref="D34:M34" si="9">D31+D32+D33</f>
        <v>2663056</v>
      </c>
      <c r="E34" s="17">
        <f t="shared" si="9"/>
        <v>2663056</v>
      </c>
      <c r="F34" s="17">
        <f t="shared" si="9"/>
        <v>2663056</v>
      </c>
      <c r="G34" s="17">
        <f t="shared" si="9"/>
        <v>2663056</v>
      </c>
      <c r="H34" s="17">
        <f t="shared" si="9"/>
        <v>2663056</v>
      </c>
      <c r="I34" s="17">
        <f t="shared" si="9"/>
        <v>2663056</v>
      </c>
      <c r="J34" s="17">
        <f t="shared" si="9"/>
        <v>2663056</v>
      </c>
      <c r="K34" s="17">
        <f t="shared" si="9"/>
        <v>2663056</v>
      </c>
      <c r="L34" s="17">
        <f t="shared" si="9"/>
        <v>2663056</v>
      </c>
      <c r="M34" s="17">
        <f t="shared" si="9"/>
        <v>2663056</v>
      </c>
    </row>
    <row r="35" spans="1:13">
      <c r="A35" s="16" t="s">
        <v>293</v>
      </c>
      <c r="B35" s="16" t="s">
        <v>43</v>
      </c>
      <c r="C35" s="17">
        <f t="shared" si="7"/>
        <v>0</v>
      </c>
      <c r="D35" s="17">
        <f t="shared" ref="D35:M35" si="10">D8-D34</f>
        <v>2944</v>
      </c>
      <c r="E35" s="17">
        <f t="shared" si="10"/>
        <v>2944</v>
      </c>
      <c r="F35" s="17">
        <f t="shared" si="10"/>
        <v>2944</v>
      </c>
      <c r="G35" s="17">
        <f t="shared" si="10"/>
        <v>2944</v>
      </c>
      <c r="H35" s="17">
        <f t="shared" si="10"/>
        <v>2944</v>
      </c>
      <c r="I35" s="17">
        <f t="shared" si="10"/>
        <v>2944</v>
      </c>
      <c r="J35" s="17">
        <f t="shared" si="10"/>
        <v>2944</v>
      </c>
      <c r="K35" s="17">
        <f t="shared" si="10"/>
        <v>2944</v>
      </c>
      <c r="L35" s="17">
        <f t="shared" si="10"/>
        <v>2944</v>
      </c>
      <c r="M35" s="17">
        <f t="shared" si="10"/>
        <v>2944</v>
      </c>
    </row>
    <row r="36" spans="1:13">
      <c r="A36" s="5" t="s">
        <v>293</v>
      </c>
      <c r="B36" s="5" t="s">
        <v>102</v>
      </c>
      <c r="C36" s="20">
        <f t="shared" si="7"/>
        <v>0</v>
      </c>
      <c r="D36" s="20">
        <f t="shared" ref="D36:M36" si="11">IF(D8=0,0,D35/D8)</f>
        <v>0.00110427606901725</v>
      </c>
      <c r="E36" s="20">
        <f t="shared" si="11"/>
        <v>0.00110427606901725</v>
      </c>
      <c r="F36" s="20">
        <f t="shared" si="11"/>
        <v>0.00110427606901725</v>
      </c>
      <c r="G36" s="20">
        <f t="shared" si="11"/>
        <v>0.00110427606901725</v>
      </c>
      <c r="H36" s="20">
        <f t="shared" si="11"/>
        <v>0.00110427606901725</v>
      </c>
      <c r="I36" s="20">
        <f t="shared" si="11"/>
        <v>0.00110427606901725</v>
      </c>
      <c r="J36" s="20">
        <f t="shared" si="11"/>
        <v>0.00110427606901725</v>
      </c>
      <c r="K36" s="20">
        <f t="shared" si="11"/>
        <v>0.00110427606901725</v>
      </c>
      <c r="L36" s="20">
        <f t="shared" si="11"/>
        <v>0.00110427606901725</v>
      </c>
      <c r="M36" s="20">
        <f t="shared" si="11"/>
        <v>0.00110427606901725</v>
      </c>
    </row>
    <row r="37" spans="1:13">
      <c r="A37" s="5" t="s">
        <v>7</v>
      </c>
      <c r="B37" s="5" t="s">
        <v>7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spans="1:13">
      <c r="A38" s="13" t="s">
        <v>295</v>
      </c>
      <c r="B38" s="13" t="s">
        <v>7</v>
      </c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</row>
    <row r="39" spans="1:13">
      <c r="A39" s="5" t="s">
        <v>296</v>
      </c>
      <c r="B39" s="5" t="s">
        <v>282</v>
      </c>
      <c r="C39" s="15">
        <f>'04_Mode_Params'!$D$5</f>
        <v>3539400</v>
      </c>
      <c r="D39" s="15">
        <f t="shared" ref="D39:M39" si="12">0</f>
        <v>0</v>
      </c>
      <c r="E39" s="15">
        <f t="shared" si="12"/>
        <v>0</v>
      </c>
      <c r="F39" s="15">
        <f t="shared" si="12"/>
        <v>0</v>
      </c>
      <c r="G39" s="15">
        <f t="shared" si="12"/>
        <v>0</v>
      </c>
      <c r="H39" s="15">
        <f t="shared" si="12"/>
        <v>0</v>
      </c>
      <c r="I39" s="15">
        <f t="shared" si="12"/>
        <v>0</v>
      </c>
      <c r="J39" s="15">
        <f t="shared" si="12"/>
        <v>0</v>
      </c>
      <c r="K39" s="15">
        <f t="shared" si="12"/>
        <v>0</v>
      </c>
      <c r="L39" s="15">
        <f t="shared" si="12"/>
        <v>0</v>
      </c>
      <c r="M39" s="15">
        <f t="shared" si="12"/>
        <v>0</v>
      </c>
    </row>
    <row r="40" spans="1:13">
      <c r="A40" s="5" t="s">
        <v>296</v>
      </c>
      <c r="B40" s="5" t="s">
        <v>297</v>
      </c>
      <c r="C40" s="9">
        <f>0</f>
        <v>0</v>
      </c>
      <c r="D40" s="9">
        <f>MAX(0,('04_Mode_Params'!$D$6*(1+'02_Inputs'!$D$16)^(1-1))-('02_Inputs'!$D$45/'02_Inputs'!$D$5))</f>
        <v>2350000</v>
      </c>
      <c r="E40" s="9">
        <f>MAX(0,('04_Mode_Params'!$D$6*(1+'02_Inputs'!$D$16)^(2-1))-('02_Inputs'!$D$45/'02_Inputs'!$D$5))</f>
        <v>2350000</v>
      </c>
      <c r="F40" s="9">
        <f>MAX(0,('04_Mode_Params'!$D$6*(1+'02_Inputs'!$D$16)^(3-1))-('02_Inputs'!$D$45/'02_Inputs'!$D$5))</f>
        <v>2350000</v>
      </c>
      <c r="G40" s="9">
        <f>MAX(0,('04_Mode_Params'!$D$6*(1+'02_Inputs'!$D$16)^(4-1))-('02_Inputs'!$D$45/'02_Inputs'!$D$5))</f>
        <v>2350000</v>
      </c>
      <c r="H40" s="9">
        <f>MAX(0,('04_Mode_Params'!$D$6*(1+'02_Inputs'!$D$16)^(5-1))-('02_Inputs'!$D$45/'02_Inputs'!$D$5))</f>
        <v>2350000</v>
      </c>
      <c r="I40" s="9">
        <f>MAX(0,('04_Mode_Params'!$D$6*(1+'02_Inputs'!$D$16)^(6-1))-('02_Inputs'!$D$45/'02_Inputs'!$D$5))</f>
        <v>2350000</v>
      </c>
      <c r="J40" s="9">
        <f>MAX(0,MAX((('04_Mode_Params'!$D$6*(1+'02_Inputs'!$D$16)^(7-1))*0.2),('04_Mode_Params'!$D$6*(1+'02_Inputs'!$D$16)^(7-1))-'02_Inputs'!$D$46)-('02_Inputs'!$D$45/'02_Inputs'!$D$5))</f>
        <v>2350000</v>
      </c>
      <c r="K40" s="9">
        <f>MAX(0,MAX((('04_Mode_Params'!$D$6*(1+'02_Inputs'!$D$16)^(8-1))*0.2),('04_Mode_Params'!$D$6*(1+'02_Inputs'!$D$16)^(8-1))-'02_Inputs'!$D$46)-('02_Inputs'!$D$45/'02_Inputs'!$D$5))</f>
        <v>2350000</v>
      </c>
      <c r="L40" s="9">
        <f>MAX(0,MAX((('04_Mode_Params'!$D$6*(1+'02_Inputs'!$D$16)^(9-1))*0.2),('04_Mode_Params'!$D$6*(1+'02_Inputs'!$D$16)^(9-1))-'02_Inputs'!$D$46)-('02_Inputs'!$D$45/'02_Inputs'!$D$5))</f>
        <v>2350000</v>
      </c>
      <c r="M40" s="9">
        <f>MAX(0,MAX((('04_Mode_Params'!$D$6*(1+'02_Inputs'!$D$16)^(10-1))*0.2),('04_Mode_Params'!$D$6*(1+'02_Inputs'!$D$16)^(10-1))-'02_Inputs'!$D$46)-('02_Inputs'!$D$45/'02_Inputs'!$D$5))</f>
        <v>2350000</v>
      </c>
    </row>
    <row r="41" spans="1:13">
      <c r="A41" s="5" t="s">
        <v>296</v>
      </c>
      <c r="B41" s="5" t="s">
        <v>168</v>
      </c>
      <c r="C41" s="9">
        <f>'02_Inputs'!$D$45</f>
        <v>0</v>
      </c>
      <c r="D41" s="9">
        <f>'04_Mode_Params'!$D$7*(1+'02_Inputs'!$D$16)^(1-1)</f>
        <v>0</v>
      </c>
      <c r="E41" s="9">
        <f>'04_Mode_Params'!$D$7*(1+'02_Inputs'!$D$16)^(2-1)</f>
        <v>0</v>
      </c>
      <c r="F41" s="9">
        <f>'04_Mode_Params'!$D$7*(1+'02_Inputs'!$D$16)^(3-1)</f>
        <v>0</v>
      </c>
      <c r="G41" s="9">
        <f>'04_Mode_Params'!$D$7*(1+'02_Inputs'!$D$16)^(4-1)</f>
        <v>0</v>
      </c>
      <c r="H41" s="9">
        <f>'04_Mode_Params'!$D$7*(1+'02_Inputs'!$D$16)^(5-1)</f>
        <v>0</v>
      </c>
      <c r="I41" s="9">
        <f>'04_Mode_Params'!$D$7*(1+'02_Inputs'!$D$16)^(6-1)</f>
        <v>0</v>
      </c>
      <c r="J41" s="9">
        <f>'04_Mode_Params'!$D$7*(1+'02_Inputs'!$D$16)^(7-1)</f>
        <v>0</v>
      </c>
      <c r="K41" s="9">
        <f>'04_Mode_Params'!$D$7*(1+'02_Inputs'!$D$16)^(8-1)</f>
        <v>0</v>
      </c>
      <c r="L41" s="9">
        <f>'04_Mode_Params'!$D$7*(1+'02_Inputs'!$D$16)^(9-1)</f>
        <v>0</v>
      </c>
      <c r="M41" s="9">
        <f>'04_Mode_Params'!$D$7*(1+'02_Inputs'!$D$16)^(10-1)</f>
        <v>0</v>
      </c>
    </row>
    <row r="42" spans="1:13">
      <c r="A42" s="5" t="s">
        <v>296</v>
      </c>
      <c r="B42" s="5" t="s">
        <v>187</v>
      </c>
      <c r="C42" s="9">
        <f t="shared" ref="C42:C48" si="13">0</f>
        <v>0</v>
      </c>
      <c r="D42" s="9">
        <f>IF(AND(1='02_Inputs'!$D$36,1&gt;0),'02_Inputs'!$D$37,0)</f>
        <v>0</v>
      </c>
      <c r="E42" s="9">
        <f>IF(AND(2='02_Inputs'!$D$36,2&gt;0),'02_Inputs'!$D$37,0)</f>
        <v>0</v>
      </c>
      <c r="F42" s="9">
        <f>IF(AND(3='02_Inputs'!$D$36,3&gt;0),'02_Inputs'!$D$37,0)</f>
        <v>0</v>
      </c>
      <c r="G42" s="9">
        <f>IF(AND(4='02_Inputs'!$D$36,4&gt;0),'02_Inputs'!$D$37,0)</f>
        <v>0</v>
      </c>
      <c r="H42" s="9">
        <f>IF(AND(5='02_Inputs'!$D$36,5&gt;0),'02_Inputs'!$D$37,0)</f>
        <v>0</v>
      </c>
      <c r="I42" s="9">
        <f>IF(AND(6='02_Inputs'!$D$36,6&gt;0),'02_Inputs'!$D$37,0)</f>
        <v>0</v>
      </c>
      <c r="J42" s="9">
        <f>IF(AND(7='02_Inputs'!$D$36,7&gt;0),'02_Inputs'!$D$37,0)</f>
        <v>0</v>
      </c>
      <c r="K42" s="9">
        <f>IF(AND(8='02_Inputs'!$D$36,8&gt;0),'02_Inputs'!$D$37,0)</f>
        <v>0</v>
      </c>
      <c r="L42" s="9">
        <f>IF(AND(9='02_Inputs'!$D$36,9&gt;0),'02_Inputs'!$D$37,0)</f>
        <v>0</v>
      </c>
      <c r="M42" s="9">
        <f>IF(AND(10='02_Inputs'!$D$36,10&gt;0),'02_Inputs'!$D$37,0)</f>
        <v>0</v>
      </c>
    </row>
    <row r="43" spans="1:13">
      <c r="A43" s="5" t="s">
        <v>296</v>
      </c>
      <c r="B43" s="5" t="s">
        <v>283</v>
      </c>
      <c r="C43" s="9">
        <f t="shared" si="13"/>
        <v>0</v>
      </c>
      <c r="D43" s="9">
        <f>D6*(1-'04_Mode_Params'!$D$8)</f>
        <v>308400</v>
      </c>
      <c r="E43" s="9">
        <f>E6*(1-'04_Mode_Params'!$D$8)</f>
        <v>308400</v>
      </c>
      <c r="F43" s="9">
        <f>F6*(1-'04_Mode_Params'!$D$8)</f>
        <v>308400</v>
      </c>
      <c r="G43" s="9">
        <f>G6*(1-'04_Mode_Params'!$D$8)</f>
        <v>308400</v>
      </c>
      <c r="H43" s="9">
        <f>H6*(1-'04_Mode_Params'!$D$8)</f>
        <v>308400</v>
      </c>
      <c r="I43" s="9">
        <f>I6*(1-'04_Mode_Params'!$D$8)</f>
        <v>308400</v>
      </c>
      <c r="J43" s="9">
        <f>J6*(1-'04_Mode_Params'!$D$8)</f>
        <v>308400</v>
      </c>
      <c r="K43" s="9">
        <f>K6*(1-'04_Mode_Params'!$D$8)</f>
        <v>308400</v>
      </c>
      <c r="L43" s="9">
        <f>L6*(1-'04_Mode_Params'!$D$8)</f>
        <v>308400</v>
      </c>
      <c r="M43" s="9">
        <f>M6*(1-'04_Mode_Params'!$D$8)</f>
        <v>308400</v>
      </c>
    </row>
    <row r="44" spans="1:13">
      <c r="A44" s="5" t="s">
        <v>296</v>
      </c>
      <c r="B44" s="5" t="s">
        <v>284</v>
      </c>
      <c r="C44" s="15">
        <f t="shared" si="13"/>
        <v>0</v>
      </c>
      <c r="D44" s="15">
        <f>D43*'04_Mode_Params'!$D$10</f>
        <v>0</v>
      </c>
      <c r="E44" s="15">
        <f>E43*'04_Mode_Params'!$D$10</f>
        <v>0</v>
      </c>
      <c r="F44" s="15">
        <f>F43*'04_Mode_Params'!$D$10</f>
        <v>0</v>
      </c>
      <c r="G44" s="15">
        <f>G43*'04_Mode_Params'!$D$10</f>
        <v>0</v>
      </c>
      <c r="H44" s="15">
        <f>H43*'04_Mode_Params'!$D$10</f>
        <v>0</v>
      </c>
      <c r="I44" s="15">
        <f>I43*'04_Mode_Params'!$D$10</f>
        <v>0</v>
      </c>
      <c r="J44" s="15">
        <f>J43*'04_Mode_Params'!$D$10</f>
        <v>0</v>
      </c>
      <c r="K44" s="15">
        <f>K43*'04_Mode_Params'!$D$10</f>
        <v>0</v>
      </c>
      <c r="L44" s="15">
        <f>L43*'04_Mode_Params'!$D$10</f>
        <v>0</v>
      </c>
      <c r="M44" s="15">
        <f>M43*'04_Mode_Params'!$D$10</f>
        <v>0</v>
      </c>
    </row>
    <row r="45" spans="1:13">
      <c r="A45" s="5" t="s">
        <v>296</v>
      </c>
      <c r="B45" s="5" t="s">
        <v>285</v>
      </c>
      <c r="C45" s="15">
        <f t="shared" si="13"/>
        <v>0</v>
      </c>
      <c r="D45" s="15">
        <f>'04_Mode_Params'!$D$13*(1+'02_Inputs'!$D$15)^(1-1)</f>
        <v>286575</v>
      </c>
      <c r="E45" s="15">
        <f>'04_Mode_Params'!$D$13*(1+'02_Inputs'!$D$15)^(2-1)</f>
        <v>286575</v>
      </c>
      <c r="F45" s="15">
        <f>'04_Mode_Params'!$D$13*(1+'02_Inputs'!$D$15)^(3-1)</f>
        <v>286575</v>
      </c>
      <c r="G45" s="15">
        <f>'04_Mode_Params'!$D$13*(1+'02_Inputs'!$D$15)^(4-1)</f>
        <v>286575</v>
      </c>
      <c r="H45" s="15">
        <f>'04_Mode_Params'!$D$13*(1+'02_Inputs'!$D$15)^(5-1)</f>
        <v>286575</v>
      </c>
      <c r="I45" s="15">
        <f>'04_Mode_Params'!$D$13*(1+'02_Inputs'!$D$15)^(6-1)</f>
        <v>286575</v>
      </c>
      <c r="J45" s="15">
        <f>'04_Mode_Params'!$D$13*(1+'02_Inputs'!$D$15)^(7-1)</f>
        <v>286575</v>
      </c>
      <c r="K45" s="15">
        <f>'04_Mode_Params'!$D$13*(1+'02_Inputs'!$D$15)^(8-1)</f>
        <v>286575</v>
      </c>
      <c r="L45" s="15">
        <f>'04_Mode_Params'!$D$13*(1+'02_Inputs'!$D$15)^(9-1)</f>
        <v>286575</v>
      </c>
      <c r="M45" s="15">
        <f>'04_Mode_Params'!$D$13*(1+'02_Inputs'!$D$15)^(10-1)</f>
        <v>286575</v>
      </c>
    </row>
    <row r="46" spans="1:13">
      <c r="A46" s="5" t="s">
        <v>296</v>
      </c>
      <c r="B46" s="5" t="s">
        <v>298</v>
      </c>
      <c r="C46" s="15">
        <f t="shared" si="13"/>
        <v>0</v>
      </c>
      <c r="D46" s="15">
        <f>'04_Mode_Params'!$D$14*(1+'02_Inputs'!$D$15)^(1-1)</f>
        <v>334337.5</v>
      </c>
      <c r="E46" s="15">
        <f>'04_Mode_Params'!$D$14*(1+'02_Inputs'!$D$15)^(2-1)</f>
        <v>334337.5</v>
      </c>
      <c r="F46" s="15">
        <f>'04_Mode_Params'!$D$14*(1+'02_Inputs'!$D$15)^(3-1)</f>
        <v>334337.5</v>
      </c>
      <c r="G46" s="15">
        <f>'04_Mode_Params'!$D$14*(1+'02_Inputs'!$D$15)^(4-1)</f>
        <v>334337.5</v>
      </c>
      <c r="H46" s="15">
        <f>'04_Mode_Params'!$D$14*(1+'02_Inputs'!$D$15)^(5-1)</f>
        <v>334337.5</v>
      </c>
      <c r="I46" s="15">
        <f>'04_Mode_Params'!$D$14*(1+'02_Inputs'!$D$15)^(6-1)</f>
        <v>334337.5</v>
      </c>
      <c r="J46" s="15">
        <f>'04_Mode_Params'!$D$14*(1+'02_Inputs'!$D$15)^(7-1)</f>
        <v>334337.5</v>
      </c>
      <c r="K46" s="15">
        <f>'04_Mode_Params'!$D$14*(1+'02_Inputs'!$D$15)^(8-1)</f>
        <v>334337.5</v>
      </c>
      <c r="L46" s="15">
        <f>'04_Mode_Params'!$D$14*(1+'02_Inputs'!$D$15)^(9-1)</f>
        <v>334337.5</v>
      </c>
      <c r="M46" s="15">
        <f>'04_Mode_Params'!$D$14*(1+'02_Inputs'!$D$15)^(10-1)</f>
        <v>334337.5</v>
      </c>
    </row>
    <row r="47" spans="1:13">
      <c r="A47" s="5" t="s">
        <v>296</v>
      </c>
      <c r="B47" s="5" t="s">
        <v>299</v>
      </c>
      <c r="C47" s="15">
        <f t="shared" si="13"/>
        <v>0</v>
      </c>
      <c r="D47" s="15">
        <f>'04_Mode_Params'!$D$15*(1+'02_Inputs'!$D$15)^(1-1)</f>
        <v>143287.5</v>
      </c>
      <c r="E47" s="15">
        <f>'04_Mode_Params'!$D$15*(1+'02_Inputs'!$D$15)^(2-1)</f>
        <v>143287.5</v>
      </c>
      <c r="F47" s="15">
        <f>'04_Mode_Params'!$D$15*(1+'02_Inputs'!$D$15)^(3-1)</f>
        <v>143287.5</v>
      </c>
      <c r="G47" s="15">
        <f>'04_Mode_Params'!$D$15*(1+'02_Inputs'!$D$15)^(4-1)</f>
        <v>143287.5</v>
      </c>
      <c r="H47" s="15">
        <f>'04_Mode_Params'!$D$15*(1+'02_Inputs'!$D$15)^(5-1)</f>
        <v>143287.5</v>
      </c>
      <c r="I47" s="15">
        <f>'04_Mode_Params'!$D$15*(1+'02_Inputs'!$D$15)^(6-1)</f>
        <v>143287.5</v>
      </c>
      <c r="J47" s="15">
        <f>'04_Mode_Params'!$D$15*(1+'02_Inputs'!$D$15)^(7-1)</f>
        <v>143287.5</v>
      </c>
      <c r="K47" s="15">
        <f>'04_Mode_Params'!$D$15*(1+'02_Inputs'!$D$15)^(8-1)</f>
        <v>143287.5</v>
      </c>
      <c r="L47" s="15">
        <f>'04_Mode_Params'!$D$15*(1+'02_Inputs'!$D$15)^(9-1)</f>
        <v>143287.5</v>
      </c>
      <c r="M47" s="15">
        <f>'04_Mode_Params'!$D$15*(1+'02_Inputs'!$D$15)^(10-1)</f>
        <v>143287.5</v>
      </c>
    </row>
    <row r="48" spans="1:13">
      <c r="A48" s="16" t="s">
        <v>296</v>
      </c>
      <c r="B48" s="16" t="s">
        <v>288</v>
      </c>
      <c r="C48" s="17">
        <f t="shared" si="13"/>
        <v>0</v>
      </c>
      <c r="D48" s="17">
        <f t="shared" ref="D48:M48" si="14">D40+D41+D42</f>
        <v>2350000</v>
      </c>
      <c r="E48" s="17">
        <f t="shared" si="14"/>
        <v>2350000</v>
      </c>
      <c r="F48" s="17">
        <f t="shared" si="14"/>
        <v>2350000</v>
      </c>
      <c r="G48" s="17">
        <f t="shared" si="14"/>
        <v>2350000</v>
      </c>
      <c r="H48" s="17">
        <f t="shared" si="14"/>
        <v>2350000</v>
      </c>
      <c r="I48" s="17">
        <f t="shared" si="14"/>
        <v>2350000</v>
      </c>
      <c r="J48" s="17">
        <f t="shared" si="14"/>
        <v>2350000</v>
      </c>
      <c r="K48" s="17">
        <f t="shared" si="14"/>
        <v>2350000</v>
      </c>
      <c r="L48" s="17">
        <f t="shared" si="14"/>
        <v>2350000</v>
      </c>
      <c r="M48" s="17">
        <f t="shared" si="14"/>
        <v>2350000</v>
      </c>
    </row>
    <row r="49" spans="1:13">
      <c r="A49" s="16" t="s">
        <v>296</v>
      </c>
      <c r="B49" s="16" t="s">
        <v>289</v>
      </c>
      <c r="C49" s="17">
        <f>C39</f>
        <v>3539400</v>
      </c>
      <c r="D49" s="17">
        <f t="shared" ref="D49:M49" si="15">D39+D44+D45+D46+D47</f>
        <v>764200</v>
      </c>
      <c r="E49" s="17">
        <f t="shared" si="15"/>
        <v>764200</v>
      </c>
      <c r="F49" s="17">
        <f t="shared" si="15"/>
        <v>764200</v>
      </c>
      <c r="G49" s="17">
        <f t="shared" si="15"/>
        <v>764200</v>
      </c>
      <c r="H49" s="17">
        <f t="shared" si="15"/>
        <v>764200</v>
      </c>
      <c r="I49" s="17">
        <f t="shared" si="15"/>
        <v>764200</v>
      </c>
      <c r="J49" s="17">
        <f t="shared" si="15"/>
        <v>764200</v>
      </c>
      <c r="K49" s="17">
        <f t="shared" si="15"/>
        <v>764200</v>
      </c>
      <c r="L49" s="17">
        <f t="shared" si="15"/>
        <v>764200</v>
      </c>
      <c r="M49" s="17">
        <f t="shared" si="15"/>
        <v>764200</v>
      </c>
    </row>
    <row r="50" spans="1:13">
      <c r="A50" s="16" t="s">
        <v>296</v>
      </c>
      <c r="B50" s="16" t="s">
        <v>290</v>
      </c>
      <c r="C50" s="17">
        <f t="shared" ref="C50:M50" si="16">C48-C49</f>
        <v>-3539400</v>
      </c>
      <c r="D50" s="17">
        <f t="shared" si="16"/>
        <v>1585800</v>
      </c>
      <c r="E50" s="17">
        <f t="shared" si="16"/>
        <v>1585800</v>
      </c>
      <c r="F50" s="17">
        <f t="shared" si="16"/>
        <v>1585800</v>
      </c>
      <c r="G50" s="17">
        <f t="shared" si="16"/>
        <v>1585800</v>
      </c>
      <c r="H50" s="17">
        <f t="shared" si="16"/>
        <v>1585800</v>
      </c>
      <c r="I50" s="17">
        <f t="shared" si="16"/>
        <v>1585800</v>
      </c>
      <c r="J50" s="17">
        <f t="shared" si="16"/>
        <v>1585800</v>
      </c>
      <c r="K50" s="17">
        <f t="shared" si="16"/>
        <v>1585800</v>
      </c>
      <c r="L50" s="17">
        <f t="shared" si="16"/>
        <v>1585800</v>
      </c>
      <c r="M50" s="17">
        <f t="shared" si="16"/>
        <v>1585800</v>
      </c>
    </row>
    <row r="51" spans="1:13">
      <c r="A51" s="16" t="s">
        <v>296</v>
      </c>
      <c r="B51" s="16" t="s">
        <v>291</v>
      </c>
      <c r="C51" s="17">
        <f>C50</f>
        <v>-3539400</v>
      </c>
      <c r="D51" s="17">
        <f t="shared" ref="D51:M51" si="17">C51+D50</f>
        <v>-1953600</v>
      </c>
      <c r="E51" s="17">
        <f t="shared" si="17"/>
        <v>-367800</v>
      </c>
      <c r="F51" s="17">
        <f t="shared" si="17"/>
        <v>1218000</v>
      </c>
      <c r="G51" s="17">
        <f t="shared" si="17"/>
        <v>2803800</v>
      </c>
      <c r="H51" s="17">
        <f t="shared" si="17"/>
        <v>4389600</v>
      </c>
      <c r="I51" s="17">
        <f t="shared" si="17"/>
        <v>5975400</v>
      </c>
      <c r="J51" s="17">
        <f t="shared" si="17"/>
        <v>7561200</v>
      </c>
      <c r="K51" s="17">
        <f t="shared" si="17"/>
        <v>9147000</v>
      </c>
      <c r="L51" s="17">
        <f t="shared" si="17"/>
        <v>10732800</v>
      </c>
      <c r="M51" s="17">
        <f t="shared" si="17"/>
        <v>12318600</v>
      </c>
    </row>
    <row r="52" spans="1:13">
      <c r="A52" s="5" t="s">
        <v>296</v>
      </c>
      <c r="B52" s="5" t="s">
        <v>63</v>
      </c>
      <c r="C52" s="18">
        <f>NPV('02_Inputs'!$D$13,D50:M50)+C50</f>
        <v>5420723.67845395</v>
      </c>
      <c r="D52" s="9"/>
      <c r="E52" s="9"/>
      <c r="F52" s="9"/>
      <c r="G52" s="9"/>
      <c r="H52" s="9"/>
      <c r="I52" s="9"/>
      <c r="J52" s="9"/>
      <c r="K52" s="9"/>
      <c r="L52" s="9"/>
      <c r="M52" s="9"/>
    </row>
    <row r="53" spans="1:13">
      <c r="A53" s="5" t="s">
        <v>296</v>
      </c>
      <c r="B53" s="5" t="s">
        <v>65</v>
      </c>
      <c r="C53" s="19">
        <f>IFERROR(IRR(C50:M50),"n/a")</f>
        <v>0.436027982587965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spans="1:13">
      <c r="A54" s="5" t="s">
        <v>296</v>
      </c>
      <c r="B54" s="5" t="s">
        <v>95</v>
      </c>
      <c r="C54" s="21">
        <f>IF(C39=0,"n/a",SUM(C50:M50)/C39)</f>
        <v>3.48042041023902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spans="1:13">
      <c r="A55" s="5" t="s">
        <v>296</v>
      </c>
      <c r="B55" s="5" t="s">
        <v>97</v>
      </c>
      <c r="C55" s="22" t="str">
        <f>IF(M51&lt;0,"未回收",IF(C51&gt;=0,C$4,IF(D51&gt;=0,D$4,IF(E51&gt;=0,E$4,IF(F51&gt;=0,F$4,IF(G51&gt;=0,G$4,IF(H51&gt;=0,H$4,IF(I51&gt;=0,I$4,IF(J51&gt;=0,J$4,IF(K51&gt;=0,K$4,IF(L51&gt;=0,L$4,M$4)))))))))))</f>
        <v>Y3</v>
      </c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spans="1:13">
      <c r="A56" s="5" t="s">
        <v>7</v>
      </c>
      <c r="B56" s="5" t="s">
        <v>7</v>
      </c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</row>
    <row r="57" spans="1:13">
      <c r="A57" s="13" t="s">
        <v>300</v>
      </c>
      <c r="B57" s="13" t="s">
        <v>7</v>
      </c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</row>
    <row r="58" spans="1:13">
      <c r="A58" s="5" t="s">
        <v>301</v>
      </c>
      <c r="B58" s="5" t="s">
        <v>245</v>
      </c>
      <c r="C58" s="9">
        <f t="shared" ref="C58:C63" si="18">0</f>
        <v>0</v>
      </c>
      <c r="D58" s="9">
        <f>D43*(1-'04_Mode_Params'!$D$10)</f>
        <v>308400</v>
      </c>
      <c r="E58" s="9">
        <f>E43*(1-'04_Mode_Params'!$D$10)</f>
        <v>308400</v>
      </c>
      <c r="F58" s="9">
        <f>F43*(1-'04_Mode_Params'!$D$10)</f>
        <v>308400</v>
      </c>
      <c r="G58" s="9">
        <f>G43*(1-'04_Mode_Params'!$D$10)</f>
        <v>308400</v>
      </c>
      <c r="H58" s="9">
        <f>H43*(1-'04_Mode_Params'!$D$10)</f>
        <v>308400</v>
      </c>
      <c r="I58" s="9">
        <f>I43*(1-'04_Mode_Params'!$D$10)</f>
        <v>308400</v>
      </c>
      <c r="J58" s="9">
        <f>J43*(1-'04_Mode_Params'!$D$10)</f>
        <v>308400</v>
      </c>
      <c r="K58" s="9">
        <f>K43*(1-'04_Mode_Params'!$D$10)</f>
        <v>308400</v>
      </c>
      <c r="L58" s="9">
        <f>L43*(1-'04_Mode_Params'!$D$10)</f>
        <v>308400</v>
      </c>
      <c r="M58" s="9">
        <f>M43*(1-'04_Mode_Params'!$D$10)</f>
        <v>308400</v>
      </c>
    </row>
    <row r="59" spans="1:13">
      <c r="A59" s="5" t="s">
        <v>301</v>
      </c>
      <c r="B59" s="5" t="s">
        <v>302</v>
      </c>
      <c r="C59" s="9">
        <f t="shared" si="18"/>
        <v>0</v>
      </c>
      <c r="D59" s="9">
        <f t="shared" ref="D59:M59" si="19">D40</f>
        <v>2350000</v>
      </c>
      <c r="E59" s="9">
        <f t="shared" si="19"/>
        <v>2350000</v>
      </c>
      <c r="F59" s="9">
        <f t="shared" si="19"/>
        <v>2350000</v>
      </c>
      <c r="G59" s="9">
        <f t="shared" si="19"/>
        <v>2350000</v>
      </c>
      <c r="H59" s="9">
        <f t="shared" si="19"/>
        <v>2350000</v>
      </c>
      <c r="I59" s="9">
        <f t="shared" si="19"/>
        <v>2350000</v>
      </c>
      <c r="J59" s="9">
        <f t="shared" si="19"/>
        <v>2350000</v>
      </c>
      <c r="K59" s="9">
        <f t="shared" si="19"/>
        <v>2350000</v>
      </c>
      <c r="L59" s="9">
        <f t="shared" si="19"/>
        <v>2350000</v>
      </c>
      <c r="M59" s="9">
        <f t="shared" si="19"/>
        <v>2350000</v>
      </c>
    </row>
    <row r="60" spans="1:13">
      <c r="A60" s="5" t="s">
        <v>301</v>
      </c>
      <c r="B60" s="5" t="s">
        <v>159</v>
      </c>
      <c r="C60" s="9">
        <f t="shared" si="18"/>
        <v>0</v>
      </c>
      <c r="D60" s="9">
        <f>'02_Inputs'!$D$17*(1+'02_Inputs'!$D$15)^(1-1)</f>
        <v>0</v>
      </c>
      <c r="E60" s="9">
        <f>'02_Inputs'!$D$17*(1+'02_Inputs'!$D$15)^(2-1)</f>
        <v>0</v>
      </c>
      <c r="F60" s="9">
        <f>'02_Inputs'!$D$17*(1+'02_Inputs'!$D$15)^(3-1)</f>
        <v>0</v>
      </c>
      <c r="G60" s="9">
        <f>'02_Inputs'!$D$17*(1+'02_Inputs'!$D$15)^(4-1)</f>
        <v>0</v>
      </c>
      <c r="H60" s="9">
        <f>'02_Inputs'!$D$17*(1+'02_Inputs'!$D$15)^(5-1)</f>
        <v>0</v>
      </c>
      <c r="I60" s="9">
        <f>'02_Inputs'!$D$17*(1+'02_Inputs'!$D$15)^(6-1)</f>
        <v>0</v>
      </c>
      <c r="J60" s="9">
        <f>'02_Inputs'!$D$17*(1+'02_Inputs'!$D$15)^(7-1)</f>
        <v>0</v>
      </c>
      <c r="K60" s="9">
        <f>'02_Inputs'!$D$17*(1+'02_Inputs'!$D$15)^(8-1)</f>
        <v>0</v>
      </c>
      <c r="L60" s="9">
        <f>'02_Inputs'!$D$17*(1+'02_Inputs'!$D$15)^(9-1)</f>
        <v>0</v>
      </c>
      <c r="M60" s="9">
        <f>'02_Inputs'!$D$17*(1+'02_Inputs'!$D$15)^(10-1)</f>
        <v>0</v>
      </c>
    </row>
    <row r="61" spans="1:13">
      <c r="A61" s="16" t="s">
        <v>301</v>
      </c>
      <c r="B61" s="16" t="s">
        <v>39</v>
      </c>
      <c r="C61" s="17">
        <f t="shared" si="18"/>
        <v>0</v>
      </c>
      <c r="D61" s="17">
        <f t="shared" ref="D61:M61" si="20">D58+D59+D60</f>
        <v>2658400</v>
      </c>
      <c r="E61" s="17">
        <f t="shared" si="20"/>
        <v>2658400</v>
      </c>
      <c r="F61" s="17">
        <f t="shared" si="20"/>
        <v>2658400</v>
      </c>
      <c r="G61" s="17">
        <f t="shared" si="20"/>
        <v>2658400</v>
      </c>
      <c r="H61" s="17">
        <f t="shared" si="20"/>
        <v>2658400</v>
      </c>
      <c r="I61" s="17">
        <f t="shared" si="20"/>
        <v>2658400</v>
      </c>
      <c r="J61" s="17">
        <f t="shared" si="20"/>
        <v>2658400</v>
      </c>
      <c r="K61" s="17">
        <f t="shared" si="20"/>
        <v>2658400</v>
      </c>
      <c r="L61" s="17">
        <f t="shared" si="20"/>
        <v>2658400</v>
      </c>
      <c r="M61" s="17">
        <f t="shared" si="20"/>
        <v>2658400</v>
      </c>
    </row>
    <row r="62" spans="1:13">
      <c r="A62" s="16" t="s">
        <v>301</v>
      </c>
      <c r="B62" s="16" t="s">
        <v>43</v>
      </c>
      <c r="C62" s="17">
        <f t="shared" si="18"/>
        <v>0</v>
      </c>
      <c r="D62" s="17">
        <f t="shared" ref="D62:M62" si="21">D8-D61</f>
        <v>7600</v>
      </c>
      <c r="E62" s="17">
        <f t="shared" si="21"/>
        <v>7600</v>
      </c>
      <c r="F62" s="17">
        <f t="shared" si="21"/>
        <v>7600</v>
      </c>
      <c r="G62" s="17">
        <f t="shared" si="21"/>
        <v>7600</v>
      </c>
      <c r="H62" s="17">
        <f t="shared" si="21"/>
        <v>7600</v>
      </c>
      <c r="I62" s="17">
        <f t="shared" si="21"/>
        <v>7600</v>
      </c>
      <c r="J62" s="17">
        <f t="shared" si="21"/>
        <v>7600</v>
      </c>
      <c r="K62" s="17">
        <f t="shared" si="21"/>
        <v>7600</v>
      </c>
      <c r="L62" s="17">
        <f t="shared" si="21"/>
        <v>7600</v>
      </c>
      <c r="M62" s="17">
        <f t="shared" si="21"/>
        <v>7600</v>
      </c>
    </row>
    <row r="63" spans="1:13">
      <c r="A63" s="5" t="s">
        <v>301</v>
      </c>
      <c r="B63" s="5" t="s">
        <v>102</v>
      </c>
      <c r="C63" s="20">
        <f t="shared" si="18"/>
        <v>0</v>
      </c>
      <c r="D63" s="20">
        <f t="shared" ref="D63:M63" si="22">IF(D8=0,0,D62/D8)</f>
        <v>0.00285071267816954</v>
      </c>
      <c r="E63" s="20">
        <f t="shared" si="22"/>
        <v>0.00285071267816954</v>
      </c>
      <c r="F63" s="20">
        <f t="shared" si="22"/>
        <v>0.00285071267816954</v>
      </c>
      <c r="G63" s="20">
        <f t="shared" si="22"/>
        <v>0.00285071267816954</v>
      </c>
      <c r="H63" s="20">
        <f t="shared" si="22"/>
        <v>0.00285071267816954</v>
      </c>
      <c r="I63" s="20">
        <f t="shared" si="22"/>
        <v>0.00285071267816954</v>
      </c>
      <c r="J63" s="20">
        <f t="shared" si="22"/>
        <v>0.00285071267816954</v>
      </c>
      <c r="K63" s="20">
        <f t="shared" si="22"/>
        <v>0.00285071267816954</v>
      </c>
      <c r="L63" s="20">
        <f t="shared" si="22"/>
        <v>0.00285071267816954</v>
      </c>
      <c r="M63" s="20">
        <f t="shared" si="22"/>
        <v>0.00285071267816954</v>
      </c>
    </row>
  </sheetData>
  <mergeCells count="2">
    <mergeCell ref="A1:M1"/>
    <mergeCell ref="A2:M2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0"/>
  <sheetViews>
    <sheetView workbookViewId="0">
      <selection activeCell="A1" sqref="A1:I1"/>
    </sheetView>
  </sheetViews>
  <sheetFormatPr defaultColWidth="9" defaultRowHeight="16.8"/>
  <cols>
    <col min="1" max="1" width="32" customWidth="1"/>
    <col min="2" max="9" width="16" customWidth="1"/>
  </cols>
  <sheetData>
    <row r="1" ht="26" customHeight="1" spans="1:26">
      <c r="A1" s="1" t="s">
        <v>303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 t="s">
        <v>304</v>
      </c>
    </row>
    <row r="4" spans="1:26">
      <c r="A4" s="4" t="s">
        <v>305</v>
      </c>
      <c r="B4" s="4" t="s">
        <v>306</v>
      </c>
      <c r="C4" s="4" t="s">
        <v>68</v>
      </c>
      <c r="D4" s="4" t="s">
        <v>307</v>
      </c>
      <c r="E4" s="4" t="s">
        <v>308</v>
      </c>
      <c r="F4" s="4" t="s">
        <v>309</v>
      </c>
    </row>
    <row r="5" ht="46" spans="1:26">
      <c r="A5" s="5" t="s">
        <v>24</v>
      </c>
      <c r="B5" s="9">
        <f>('04_Mode_Params'!C5+'02_Inputs'!$D$5*('04_Mode_Params'!C17-'04_Mode_Params'!C7))/'02_Inputs'!$D$5</f>
        <v>963940</v>
      </c>
      <c r="C5" s="9">
        <f>'04_Mode_Params'!C5/(IF('02_Inputs'!$D$13=0,'02_Inputs'!$D$5,(1-(1+'02_Inputs'!$D$13)^-'02_Inputs'!$D$5)/'02_Inputs'!$D$13))+'04_Mode_Params'!C17-'04_Mode_Params'!C7</f>
        <v>1236417.75062735</v>
      </c>
      <c r="D5" s="9">
        <f>'04_Mode_Params'!C6</f>
        <v>1635056</v>
      </c>
      <c r="E5" s="9">
        <f>D5-C5</f>
        <v>398638.249372648</v>
      </c>
      <c r="F5" s="6" t="s">
        <v>310</v>
      </c>
    </row>
    <row r="6" ht="46" spans="1:26">
      <c r="A6" s="5" t="s">
        <v>25</v>
      </c>
      <c r="B6" s="9">
        <f>('04_Mode_Params'!D5+'02_Inputs'!$D$5*('04_Mode_Params'!D17-'04_Mode_Params'!D7))/'02_Inputs'!$D$5</f>
        <v>1118140</v>
      </c>
      <c r="C6" s="9">
        <f>'04_Mode_Params'!D5/(IF('02_Inputs'!$D$13=0,'02_Inputs'!$D$5,(1-(1+'02_Inputs'!$D$13)^-'02_Inputs'!$D$5)/'02_Inputs'!$D$13))+'04_Mode_Params'!D17-'04_Mode_Params'!D7</f>
        <v>1390617.75062735</v>
      </c>
      <c r="D6" s="9">
        <f>'04_Mode_Params'!D6</f>
        <v>2350000</v>
      </c>
      <c r="E6" s="9">
        <f>D6-C6</f>
        <v>959382.249372648</v>
      </c>
      <c r="F6" s="6" t="s">
        <v>311</v>
      </c>
    </row>
    <row r="9" spans="1:26">
      <c r="A9" s="4" t="s">
        <v>312</v>
      </c>
      <c r="B9" s="4" t="s">
        <v>313</v>
      </c>
      <c r="C9" s="4" t="s">
        <v>314</v>
      </c>
      <c r="D9" s="4" t="s">
        <v>315</v>
      </c>
      <c r="E9" s="4" t="s">
        <v>316</v>
      </c>
      <c r="F9" s="4" t="s">
        <v>317</v>
      </c>
      <c r="G9" s="4" t="s">
        <v>318</v>
      </c>
      <c r="H9" s="4" t="s">
        <v>319</v>
      </c>
    </row>
    <row r="10" spans="1:26">
      <c r="A10" s="10" t="s">
        <v>320</v>
      </c>
      <c r="B10" s="11">
        <f>((800000+'04_Mode_Params'!$C$7-'04_Mode_Params'!$C$17)*'02_Inputs'!$D$5-'04_Mode_Params'!$C$5)/'04_Mode_Params'!$C$5</f>
        <v>-0.46318585070916</v>
      </c>
      <c r="C10" s="11">
        <f>((900000+'04_Mode_Params'!$C$7-'04_Mode_Params'!$C$17)*'02_Inputs'!$D$5-'04_Mode_Params'!$C$5)/'04_Mode_Params'!$C$5</f>
        <v>-0.180652087924507</v>
      </c>
      <c r="D10" s="11">
        <f>((1000000+'04_Mode_Params'!$C$7-'04_Mode_Params'!$C$17)*'02_Inputs'!$D$5-'04_Mode_Params'!$C$5)/'04_Mode_Params'!$C$5</f>
        <v>0.101881674860146</v>
      </c>
      <c r="E10" s="11">
        <f>((1100000+'04_Mode_Params'!$C$7-'04_Mode_Params'!$C$17)*'02_Inputs'!$D$5-'04_Mode_Params'!$C$5)/'04_Mode_Params'!$C$5</f>
        <v>0.384415437644799</v>
      </c>
      <c r="F10" s="11">
        <f>((1200000+'04_Mode_Params'!$C$7-'04_Mode_Params'!$C$17)*'02_Inputs'!$D$5-'04_Mode_Params'!$C$5)/'04_Mode_Params'!$C$5</f>
        <v>0.666949200429451</v>
      </c>
      <c r="G10" s="11">
        <f>((1400000+'04_Mode_Params'!$C$7-'04_Mode_Params'!$C$17)*'02_Inputs'!$D$5-'04_Mode_Params'!$C$5)/'04_Mode_Params'!$C$5</f>
        <v>1.23201672599876</v>
      </c>
      <c r="H10" s="11">
        <f>((1600000+'04_Mode_Params'!$C$7-'04_Mode_Params'!$C$17)*'02_Inputs'!$D$5-'04_Mode_Params'!$C$5)/'04_Mode_Params'!$C$5</f>
        <v>1.79708425156806</v>
      </c>
    </row>
    <row r="11" spans="1:26">
      <c r="A11" s="10" t="s">
        <v>321</v>
      </c>
      <c r="B11" s="12">
        <f>800000+'04_Mode_Params'!$C$7-'04_Mode_Params'!$C$17</f>
        <v>190000</v>
      </c>
      <c r="C11" s="12">
        <f>900000+'04_Mode_Params'!$C$7-'04_Mode_Params'!$C$17</f>
        <v>290000</v>
      </c>
      <c r="D11" s="12">
        <f>1000000+'04_Mode_Params'!$C$7-'04_Mode_Params'!$C$17</f>
        <v>390000</v>
      </c>
      <c r="E11" s="12">
        <f>1100000+'04_Mode_Params'!$C$7-'04_Mode_Params'!$C$17</f>
        <v>490000</v>
      </c>
      <c r="F11" s="12">
        <f>1200000+'04_Mode_Params'!$C$7-'04_Mode_Params'!$C$17</f>
        <v>590000</v>
      </c>
      <c r="G11" s="12">
        <f>1400000+'04_Mode_Params'!$C$7-'04_Mode_Params'!$C$17</f>
        <v>790000</v>
      </c>
      <c r="H11" s="12">
        <f>1600000+'04_Mode_Params'!$C$7-'04_Mode_Params'!$C$17</f>
        <v>990000</v>
      </c>
    </row>
    <row r="12" spans="1:26">
      <c r="A12" s="10" t="s">
        <v>322</v>
      </c>
      <c r="B12" s="11">
        <f>((800000+'04_Mode_Params'!$D$7-'04_Mode_Params'!$D$17)*'02_Inputs'!$D$5-'04_Mode_Params'!$D$5)/'04_Mode_Params'!$D$5</f>
        <v>-0.898852912923095</v>
      </c>
      <c r="C12" s="11">
        <f>((900000+'04_Mode_Params'!$D$7-'04_Mode_Params'!$D$17)*'02_Inputs'!$D$5-'04_Mode_Params'!$D$5)/'04_Mode_Params'!$D$5</f>
        <v>-0.616319150138442</v>
      </c>
      <c r="D12" s="11">
        <f>((1000000+'04_Mode_Params'!$D$7-'04_Mode_Params'!$D$17)*'02_Inputs'!$D$5-'04_Mode_Params'!$D$5)/'04_Mode_Params'!$D$5</f>
        <v>-0.333785387353789</v>
      </c>
      <c r="E12" s="11">
        <f>((1100000+'04_Mode_Params'!$D$7-'04_Mode_Params'!$D$17)*'02_Inputs'!$D$5-'04_Mode_Params'!$D$5)/'04_Mode_Params'!$D$5</f>
        <v>-0.0512516245691363</v>
      </c>
      <c r="F12" s="11">
        <f>((1200000+'04_Mode_Params'!$D$7-'04_Mode_Params'!$D$17)*'02_Inputs'!$D$5-'04_Mode_Params'!$D$5)/'04_Mode_Params'!$D$5</f>
        <v>0.231282138215516</v>
      </c>
      <c r="G12" s="11">
        <f>((1400000+'04_Mode_Params'!$D$7-'04_Mode_Params'!$D$17)*'02_Inputs'!$D$5-'04_Mode_Params'!$D$5)/'04_Mode_Params'!$D$5</f>
        <v>0.796349663784822</v>
      </c>
      <c r="H12" s="11">
        <f>((1600000+'04_Mode_Params'!$D$7-'04_Mode_Params'!$D$17)*'02_Inputs'!$D$5-'04_Mode_Params'!$D$5)/'04_Mode_Params'!$D$5</f>
        <v>1.36141718935413</v>
      </c>
    </row>
    <row r="13" spans="1:26">
      <c r="A13" s="10" t="s">
        <v>323</v>
      </c>
      <c r="B13" s="12">
        <f>800000+'04_Mode_Params'!$D$7-'04_Mode_Params'!$D$17</f>
        <v>35799.9999999999</v>
      </c>
      <c r="C13" s="12">
        <f>900000+'04_Mode_Params'!$D$7-'04_Mode_Params'!$D$17</f>
        <v>135800</v>
      </c>
      <c r="D13" s="12">
        <f>1000000+'04_Mode_Params'!$D$7-'04_Mode_Params'!$D$17</f>
        <v>235800</v>
      </c>
      <c r="E13" s="12">
        <f>1100000+'04_Mode_Params'!$D$7-'04_Mode_Params'!$D$17</f>
        <v>335800</v>
      </c>
      <c r="F13" s="12">
        <f>1200000+'04_Mode_Params'!$D$7-'04_Mode_Params'!$D$17</f>
        <v>435800</v>
      </c>
      <c r="G13" s="12">
        <f>1400000+'04_Mode_Params'!$D$7-'04_Mode_Params'!$D$17</f>
        <v>635800</v>
      </c>
      <c r="H13" s="12">
        <f>1600000+'04_Mode_Params'!$D$7-'04_Mode_Params'!$D$17</f>
        <v>835800</v>
      </c>
    </row>
    <row r="16" spans="1:26">
      <c r="A16" s="4" t="s">
        <v>324</v>
      </c>
      <c r="B16" s="4" t="s">
        <v>325</v>
      </c>
      <c r="C16" s="4" t="s">
        <v>326</v>
      </c>
      <c r="D16" s="4" t="s">
        <v>327</v>
      </c>
      <c r="E16" s="4" t="s">
        <v>328</v>
      </c>
      <c r="F16" s="4" t="s">
        <v>329</v>
      </c>
      <c r="G16" s="4" t="s">
        <v>330</v>
      </c>
      <c r="H16" s="4" t="s">
        <v>331</v>
      </c>
    </row>
    <row r="17" spans="1:8">
      <c r="A17" s="10" t="s">
        <v>332</v>
      </c>
      <c r="B17" s="12">
        <f>'03_Baseline'!$D$15-('03_Baseline'!$D$12*(1-0.4)*(1-'04_Mode_Params'!$C$10)+'04_Mode_Params'!$C$6+'02_Inputs'!$D$17)</f>
        <v>-202656</v>
      </c>
      <c r="C17" s="12">
        <f>'03_Baseline'!$D$15-('03_Baseline'!$D$12*(1-0.45)*(1-'04_Mode_Params'!$C$10)+'04_Mode_Params'!$C$6+'02_Inputs'!$D$17)</f>
        <v>-99856</v>
      </c>
      <c r="D17" s="12">
        <f>'03_Baseline'!$D$15-('03_Baseline'!$D$12*(1-0.5)*(1-'04_Mode_Params'!$C$10)+'04_Mode_Params'!$C$6+'02_Inputs'!$D$17)</f>
        <v>2944</v>
      </c>
      <c r="E17" s="12">
        <f>'03_Baseline'!$D$15-('03_Baseline'!$D$12*(1-0.55)*(1-'04_Mode_Params'!$C$10)+'04_Mode_Params'!$C$6+'02_Inputs'!$D$17)</f>
        <v>105744</v>
      </c>
      <c r="F17" s="12">
        <f>'03_Baseline'!$D$15-('03_Baseline'!$D$12*(1-0.6)*(1-'04_Mode_Params'!$C$10)+'04_Mode_Params'!$C$6+'02_Inputs'!$D$17)</f>
        <v>208544</v>
      </c>
      <c r="G17" s="12">
        <f>'03_Baseline'!$D$15-('03_Baseline'!$D$12*(1-0.65)*(1-'04_Mode_Params'!$C$10)+'04_Mode_Params'!$C$6+'02_Inputs'!$D$17)</f>
        <v>311344</v>
      </c>
      <c r="H17" s="12">
        <f>'03_Baseline'!$D$15-('03_Baseline'!$D$12*(1-0.7)*(1-'04_Mode_Params'!$C$10)+'04_Mode_Params'!$C$6+'02_Inputs'!$D$17)</f>
        <v>414144</v>
      </c>
    </row>
    <row r="18" spans="1:8">
      <c r="A18" s="10" t="s">
        <v>333</v>
      </c>
      <c r="B18" s="11">
        <f>B17/'03_Baseline'!$D$15</f>
        <v>-0.0760150037509377</v>
      </c>
      <c r="C18" s="11">
        <f>C17/'03_Baseline'!$D$15</f>
        <v>-0.0374553638409602</v>
      </c>
      <c r="D18" s="11">
        <f>D17/'03_Baseline'!$D$15</f>
        <v>0.00110427606901725</v>
      </c>
      <c r="E18" s="11">
        <f>E17/'03_Baseline'!$D$15</f>
        <v>0.0396639159789947</v>
      </c>
      <c r="F18" s="11">
        <f>F17/'03_Baseline'!$D$15</f>
        <v>0.0782235558889722</v>
      </c>
      <c r="G18" s="11">
        <f>G17/'03_Baseline'!$D$15</f>
        <v>0.11678319579895</v>
      </c>
      <c r="H18" s="11">
        <f>H17/'03_Baseline'!$D$15</f>
        <v>0.155342835708927</v>
      </c>
    </row>
    <row r="19" spans="1:8">
      <c r="A19" s="10" t="s">
        <v>334</v>
      </c>
      <c r="B19" s="12">
        <f>'03_Baseline'!$D$15-('03_Baseline'!$D$12*(1-0.4)*(1-'04_Mode_Params'!$D$10)+'04_Mode_Params'!$D$6+'02_Inputs'!$D$17)</f>
        <v>-917600</v>
      </c>
      <c r="C19" s="12">
        <f>'03_Baseline'!$D$15-('03_Baseline'!$D$12*(1-0.45)*(1-'04_Mode_Params'!$D$10)+'04_Mode_Params'!$D$6+'02_Inputs'!$D$17)</f>
        <v>-814800</v>
      </c>
      <c r="D19" s="12">
        <f>'03_Baseline'!$D$15-('03_Baseline'!$D$12*(1-0.5)*(1-'04_Mode_Params'!$D$10)+'04_Mode_Params'!$D$6+'02_Inputs'!$D$17)</f>
        <v>-712000</v>
      </c>
      <c r="E19" s="12">
        <f>'03_Baseline'!$D$15-('03_Baseline'!$D$12*(1-0.55)*(1-'04_Mode_Params'!$D$10)+'04_Mode_Params'!$D$6+'02_Inputs'!$D$17)</f>
        <v>-609200</v>
      </c>
      <c r="F19" s="12">
        <f>'03_Baseline'!$D$15-('03_Baseline'!$D$12*(1-0.6)*(1-'04_Mode_Params'!$D$10)+'04_Mode_Params'!$D$6+'02_Inputs'!$D$17)</f>
        <v>-506400</v>
      </c>
      <c r="G19" s="12">
        <f>'03_Baseline'!$D$15-('03_Baseline'!$D$12*(1-0.65)*(1-'04_Mode_Params'!$D$10)+'04_Mode_Params'!$D$6+'02_Inputs'!$D$17)</f>
        <v>-403600</v>
      </c>
      <c r="H19" s="12">
        <f>'03_Baseline'!$D$15-('03_Baseline'!$D$12*(1-0.7)*(1-'04_Mode_Params'!$D$10)+'04_Mode_Params'!$D$6+'02_Inputs'!$D$17)</f>
        <v>-300800</v>
      </c>
    </row>
    <row r="20" spans="1:8">
      <c r="A20" s="10" t="s">
        <v>335</v>
      </c>
      <c r="B20" s="11">
        <f>B19/'03_Baseline'!$D$15</f>
        <v>-0.344186046511628</v>
      </c>
      <c r="C20" s="11">
        <f>C19/'03_Baseline'!$D$15</f>
        <v>-0.30562640660165</v>
      </c>
      <c r="D20" s="11">
        <f>D19/'03_Baseline'!$D$15</f>
        <v>-0.267066766691673</v>
      </c>
      <c r="E20" s="11">
        <f>E19/'03_Baseline'!$D$15</f>
        <v>-0.228507126781695</v>
      </c>
      <c r="F20" s="11">
        <f>F19/'03_Baseline'!$D$15</f>
        <v>-0.189947486871718</v>
      </c>
      <c r="G20" s="11">
        <f>G19/'03_Baseline'!$D$15</f>
        <v>-0.15138784696174</v>
      </c>
      <c r="H20" s="11">
        <f>H19/'03_Baseline'!$D$15</f>
        <v>-0.112828207051763</v>
      </c>
    </row>
  </sheetData>
  <mergeCells count="2">
    <mergeCell ref="A1:I1"/>
    <mergeCell ref="A2:I2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"/>
  <sheetViews>
    <sheetView workbookViewId="0">
      <selection activeCell="A1" sqref="A1:G1"/>
    </sheetView>
  </sheetViews>
  <sheetFormatPr defaultColWidth="9" defaultRowHeight="16.8"/>
  <cols>
    <col min="1" max="1" width="28" customWidth="1"/>
    <col min="2" max="2" width="42" customWidth="1"/>
    <col min="3" max="4" width="18" customWidth="1"/>
    <col min="5" max="5" width="14" customWidth="1"/>
    <col min="6" max="7" width="42" customWidth="1"/>
  </cols>
  <sheetData>
    <row r="1" ht="26" customHeight="1" spans="1:26">
      <c r="A1" s="1" t="s">
        <v>336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 t="s">
        <v>337</v>
      </c>
    </row>
    <row r="4" spans="1:26">
      <c r="A4" s="4" t="s">
        <v>338</v>
      </c>
      <c r="B4" s="4" t="s">
        <v>339</v>
      </c>
      <c r="C4" s="4" t="s">
        <v>340</v>
      </c>
      <c r="D4" s="4" t="s">
        <v>341</v>
      </c>
      <c r="E4" s="4" t="s">
        <v>342</v>
      </c>
      <c r="F4" s="4" t="s">
        <v>343</v>
      </c>
      <c r="G4" s="4" t="s">
        <v>344</v>
      </c>
    </row>
    <row r="5" spans="1:26">
      <c r="A5" s="5" t="s">
        <v>345</v>
      </c>
      <c r="B5" s="6" t="s">
        <v>346</v>
      </c>
      <c r="C5" s="6" t="b">
        <f>ABS('05_Annual_Model'!D23-('05_Annual_Model'!D21-'05_Annual_Model'!D22))&lt;1</f>
        <v>1</v>
      </c>
      <c r="D5" s="6" t="b">
        <f>ABS('05_Annual_Model'!D50-('05_Annual_Model'!D48-'05_Annual_Model'!D49))&lt;1</f>
        <v>1</v>
      </c>
      <c r="E5" s="6" t="str">
        <f t="shared" ref="E5:E12" si="0">IF(AND(C5=TRUE,D5=TRUE),"OK","ERROR")</f>
        <v>OK</v>
      </c>
      <c r="F5" s="6" t="s">
        <v>347</v>
      </c>
      <c r="G5" s="6" t="s">
        <v>348</v>
      </c>
    </row>
    <row r="6" spans="1:26">
      <c r="A6" s="5" t="s">
        <v>349</v>
      </c>
      <c r="B6" s="6" t="s">
        <v>350</v>
      </c>
      <c r="C6" s="6" t="b">
        <f>ABS('05_Annual_Model'!C23+('05_Annual_Model'!C12))&lt;1</f>
        <v>1</v>
      </c>
      <c r="D6" s="6" t="b">
        <f>ABS('05_Annual_Model'!C50+('05_Annual_Model'!C39))&lt;1</f>
        <v>1</v>
      </c>
      <c r="E6" s="6" t="str">
        <f t="shared" si="0"/>
        <v>OK</v>
      </c>
      <c r="F6" s="6" t="s">
        <v>351</v>
      </c>
      <c r="G6" s="6" t="s">
        <v>352</v>
      </c>
    </row>
    <row r="7" spans="1:26">
      <c r="A7" s="5" t="s">
        <v>353</v>
      </c>
      <c r="B7" s="6" t="s">
        <v>354</v>
      </c>
      <c r="C7" s="6" t="b">
        <f>MIN('05_Annual_Model'!C12:M12,'05_Annual_Model'!C17:M20)&gt;=0</f>
        <v>1</v>
      </c>
      <c r="D7" s="6" t="b">
        <f>MIN('05_Annual_Model'!C39:M39,'05_Annual_Model'!C44:M47)&gt;=0</f>
        <v>1</v>
      </c>
      <c r="E7" s="6" t="str">
        <f t="shared" si="0"/>
        <v>OK</v>
      </c>
      <c r="F7" s="6" t="s">
        <v>355</v>
      </c>
      <c r="G7" s="6" t="s">
        <v>356</v>
      </c>
    </row>
    <row r="8" spans="1:26">
      <c r="A8" s="5" t="s">
        <v>357</v>
      </c>
      <c r="B8" s="6" t="s">
        <v>358</v>
      </c>
      <c r="C8" s="6" t="b">
        <f>ABS('05_Annual_Model'!D34-('05_Annual_Model'!D31+'05_Annual_Model'!D32+'05_Annual_Model'!D33))&lt;1</f>
        <v>1</v>
      </c>
      <c r="D8" s="6" t="b">
        <f>ABS('05_Annual_Model'!D61-('05_Annual_Model'!D58+'05_Annual_Model'!D59+'05_Annual_Model'!D60))&lt;1</f>
        <v>1</v>
      </c>
      <c r="E8" s="6" t="str">
        <f t="shared" si="0"/>
        <v>OK</v>
      </c>
      <c r="F8" s="6" t="s">
        <v>359</v>
      </c>
      <c r="G8" s="6" t="s">
        <v>360</v>
      </c>
    </row>
    <row r="9" spans="1:26">
      <c r="A9" s="5" t="s">
        <v>361</v>
      </c>
      <c r="B9" s="6" t="s">
        <v>362</v>
      </c>
      <c r="C9" s="6" t="b">
        <f>ABS(('05_Annual_Model'!D17+'05_Annual_Model'!D31)-'05_Annual_Model'!D16)&lt;1</f>
        <v>1</v>
      </c>
      <c r="D9" s="6" t="b">
        <f>ABS(('05_Annual_Model'!D44+'05_Annual_Model'!D58)-'05_Annual_Model'!D43)&lt;1</f>
        <v>1</v>
      </c>
      <c r="E9" s="6" t="str">
        <f t="shared" si="0"/>
        <v>OK</v>
      </c>
      <c r="F9" s="6" t="s">
        <v>363</v>
      </c>
      <c r="G9" s="6" t="s">
        <v>364</v>
      </c>
    </row>
    <row r="10" spans="1:26">
      <c r="A10" s="5" t="s">
        <v>365</v>
      </c>
      <c r="B10" s="6" t="s">
        <v>366</v>
      </c>
      <c r="C10" s="6" t="b">
        <f>ABS('05_Annual_Model'!E24-('05_Annual_Model'!D24+'05_Annual_Model'!E23))&lt;1</f>
        <v>1</v>
      </c>
      <c r="D10" s="6" t="b">
        <f>ABS('05_Annual_Model'!E51-('05_Annual_Model'!D51+'05_Annual_Model'!E50))&lt;1</f>
        <v>1</v>
      </c>
      <c r="E10" s="6" t="str">
        <f t="shared" si="0"/>
        <v>OK</v>
      </c>
      <c r="F10" s="6" t="s">
        <v>367</v>
      </c>
      <c r="G10" s="6" t="s">
        <v>368</v>
      </c>
    </row>
    <row r="11" spans="1:26">
      <c r="A11" s="5" t="s">
        <v>369</v>
      </c>
      <c r="B11" s="6" t="s">
        <v>370</v>
      </c>
      <c r="C11" s="6" t="b">
        <f>ABS('05_Annual_Model'!D35-('05_Annual_Model'!D8-'05_Annual_Model'!D34))&lt;1</f>
        <v>1</v>
      </c>
      <c r="D11" s="6" t="b">
        <f>ABS('05_Annual_Model'!D62-('05_Annual_Model'!D8-'05_Annual_Model'!D61))&lt;1</f>
        <v>1</v>
      </c>
      <c r="E11" s="6" t="str">
        <f t="shared" si="0"/>
        <v>OK</v>
      </c>
      <c r="F11" s="6" t="s">
        <v>371</v>
      </c>
      <c r="G11" s="6" t="s">
        <v>372</v>
      </c>
    </row>
    <row r="12" spans="1:26">
      <c r="A12" s="5" t="s">
        <v>373</v>
      </c>
      <c r="B12" s="6" t="s">
        <v>374</v>
      </c>
      <c r="C12" s="6" t="b">
        <f>IF('05_Annual_Model'!M24&lt;0,'05_Annual_Model'!C28="未回收",TRUE)</f>
        <v>1</v>
      </c>
      <c r="D12" s="6" t="b">
        <f>IF('05_Annual_Model'!M51&lt;0,'05_Annual_Model'!C55="未回收",TRUE)</f>
        <v>1</v>
      </c>
      <c r="E12" s="6" t="str">
        <f t="shared" si="0"/>
        <v>OK</v>
      </c>
      <c r="F12" s="6" t="s">
        <v>375</v>
      </c>
      <c r="G12" s="6" t="s">
        <v>376</v>
      </c>
    </row>
  </sheetData>
  <mergeCells count="2">
    <mergeCell ref="A1:G1"/>
    <mergeCell ref="A2:G2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6"/>
  <sheetViews>
    <sheetView workbookViewId="0">
      <selection activeCell="A1" sqref="A1:F1"/>
    </sheetView>
  </sheetViews>
  <sheetFormatPr defaultColWidth="9" defaultRowHeight="16.8"/>
  <cols>
    <col min="1" max="1" width="22" customWidth="1"/>
    <col min="2" max="3" width="46" customWidth="1"/>
    <col min="4" max="4" width="30" customWidth="1"/>
    <col min="5" max="5" width="42" customWidth="1"/>
    <col min="6" max="6" width="30" customWidth="1"/>
  </cols>
  <sheetData>
    <row r="1" ht="26" customHeight="1" spans="1:26">
      <c r="A1" s="1" t="s">
        <v>377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 t="s">
        <v>378</v>
      </c>
    </row>
    <row r="4" spans="1:26">
      <c r="A4" s="4" t="s">
        <v>116</v>
      </c>
      <c r="B4" s="4" t="s">
        <v>379</v>
      </c>
      <c r="C4" s="4" t="s">
        <v>309</v>
      </c>
      <c r="D4" s="4" t="s">
        <v>380</v>
      </c>
      <c r="E4" s="4" t="s">
        <v>381</v>
      </c>
      <c r="F4" s="4" t="s">
        <v>382</v>
      </c>
    </row>
    <row r="5" spans="1:26">
      <c r="A5" s="5" t="s">
        <v>212</v>
      </c>
      <c r="B5" s="6" t="s">
        <v>383</v>
      </c>
      <c r="C5" s="6" t="s">
        <v>384</v>
      </c>
      <c r="D5" s="6" t="s">
        <v>385</v>
      </c>
      <c r="E5" s="6" t="s">
        <v>386</v>
      </c>
      <c r="F5" s="6" t="s">
        <v>387</v>
      </c>
    </row>
    <row r="6" spans="1:26">
      <c r="A6" s="5" t="s">
        <v>13</v>
      </c>
      <c r="B6" s="6" t="s">
        <v>215</v>
      </c>
      <c r="C6" s="6" t="s">
        <v>388</v>
      </c>
      <c r="D6" s="6" t="s">
        <v>385</v>
      </c>
      <c r="E6" s="6" t="s">
        <v>389</v>
      </c>
      <c r="F6" s="6" t="s">
        <v>11</v>
      </c>
    </row>
    <row r="7" spans="1:26">
      <c r="A7" s="5" t="s">
        <v>15</v>
      </c>
      <c r="B7" s="6" t="s">
        <v>216</v>
      </c>
      <c r="C7" s="6" t="s">
        <v>390</v>
      </c>
      <c r="D7" s="6" t="s">
        <v>385</v>
      </c>
      <c r="E7" s="6" t="s">
        <v>391</v>
      </c>
      <c r="F7" s="6" t="s">
        <v>147</v>
      </c>
    </row>
    <row r="8" spans="1:26">
      <c r="A8" s="5" t="s">
        <v>283</v>
      </c>
      <c r="B8" s="6" t="s">
        <v>392</v>
      </c>
      <c r="C8" s="6" t="s">
        <v>393</v>
      </c>
      <c r="D8" s="6" t="s">
        <v>394</v>
      </c>
      <c r="E8" s="6" t="s">
        <v>395</v>
      </c>
      <c r="F8" s="6" t="s">
        <v>396</v>
      </c>
    </row>
    <row r="9" spans="1:26">
      <c r="A9" s="7" t="s">
        <v>397</v>
      </c>
      <c r="B9" s="8" t="s">
        <v>398</v>
      </c>
      <c r="C9" s="8" t="s">
        <v>399</v>
      </c>
      <c r="D9" s="8" t="s">
        <v>400</v>
      </c>
      <c r="E9" s="8" t="s">
        <v>401</v>
      </c>
      <c r="F9" s="8" t="s">
        <v>402</v>
      </c>
    </row>
    <row r="10" spans="1:26">
      <c r="A10" s="7" t="s">
        <v>403</v>
      </c>
      <c r="B10" s="8" t="s">
        <v>404</v>
      </c>
      <c r="C10" s="8" t="s">
        <v>405</v>
      </c>
      <c r="D10" s="8" t="s">
        <v>400</v>
      </c>
      <c r="E10" s="8" t="s">
        <v>406</v>
      </c>
      <c r="F10" s="8" t="s">
        <v>407</v>
      </c>
    </row>
    <row r="11" spans="1:26">
      <c r="A11" s="7" t="s">
        <v>408</v>
      </c>
      <c r="B11" s="8" t="s">
        <v>409</v>
      </c>
      <c r="C11" s="8" t="s">
        <v>410</v>
      </c>
      <c r="D11" s="8" t="s">
        <v>400</v>
      </c>
      <c r="E11" s="8" t="s">
        <v>411</v>
      </c>
      <c r="F11" s="8" t="s">
        <v>412</v>
      </c>
    </row>
    <row r="12" spans="1:26">
      <c r="A12" s="5" t="s">
        <v>39</v>
      </c>
      <c r="B12" s="6" t="s">
        <v>413</v>
      </c>
      <c r="C12" s="6" t="s">
        <v>414</v>
      </c>
      <c r="D12" s="6" t="s">
        <v>400</v>
      </c>
      <c r="E12" s="6" t="s">
        <v>415</v>
      </c>
      <c r="F12" s="6" t="s">
        <v>416</v>
      </c>
    </row>
    <row r="13" spans="1:26">
      <c r="A13" s="5" t="s">
        <v>417</v>
      </c>
      <c r="B13" s="6" t="s">
        <v>418</v>
      </c>
      <c r="C13" s="6" t="s">
        <v>419</v>
      </c>
      <c r="D13" s="6" t="s">
        <v>394</v>
      </c>
      <c r="E13" s="6" t="s">
        <v>420</v>
      </c>
      <c r="F13" s="6" t="s">
        <v>421</v>
      </c>
    </row>
    <row r="14" spans="1:26">
      <c r="A14" s="5" t="s">
        <v>63</v>
      </c>
      <c r="B14" s="6" t="s">
        <v>422</v>
      </c>
      <c r="C14" s="6" t="s">
        <v>423</v>
      </c>
      <c r="D14" s="6" t="s">
        <v>400</v>
      </c>
      <c r="E14" s="6" t="s">
        <v>424</v>
      </c>
      <c r="F14" s="6" t="s">
        <v>425</v>
      </c>
    </row>
    <row r="15" spans="1:26">
      <c r="A15" s="5" t="s">
        <v>65</v>
      </c>
      <c r="B15" s="6" t="s">
        <v>426</v>
      </c>
      <c r="C15" s="6" t="s">
        <v>427</v>
      </c>
      <c r="D15" s="6" t="s">
        <v>400</v>
      </c>
      <c r="E15" s="6" t="s">
        <v>428</v>
      </c>
      <c r="F15" s="6" t="s">
        <v>429</v>
      </c>
    </row>
    <row r="16" spans="1:26">
      <c r="A16" s="5" t="s">
        <v>68</v>
      </c>
      <c r="B16" s="6" t="s">
        <v>430</v>
      </c>
      <c r="C16" s="6" t="s">
        <v>431</v>
      </c>
      <c r="D16" s="6" t="s">
        <v>432</v>
      </c>
      <c r="E16" s="6" t="s">
        <v>433</v>
      </c>
      <c r="F16" s="6" t="s">
        <v>434</v>
      </c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3"/>
  <sheetViews>
    <sheetView workbookViewId="0">
      <selection activeCell="A1" sqref="A1:E1"/>
    </sheetView>
  </sheetViews>
  <sheetFormatPr defaultColWidth="9" defaultRowHeight="16.8"/>
  <cols>
    <col min="1" max="1" width="22" customWidth="1"/>
    <col min="2" max="2" width="34" customWidth="1"/>
    <col min="3" max="4" width="42" customWidth="1"/>
    <col min="5" max="5" width="32" customWidth="1"/>
  </cols>
  <sheetData>
    <row r="1" ht="26" customHeight="1" spans="1:26">
      <c r="A1" s="1" t="s">
        <v>435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" customHeight="1" spans="1:26">
      <c r="A2" s="3"/>
      <c r="B2" s="3"/>
      <c r="C2" s="3"/>
      <c r="D2" s="3"/>
      <c r="E2" s="3"/>
    </row>
    <row r="3" spans="1:26">
      <c r="A3" s="4" t="s">
        <v>436</v>
      </c>
      <c r="B3" s="4" t="s">
        <v>437</v>
      </c>
      <c r="C3" s="4" t="s">
        <v>438</v>
      </c>
      <c r="D3" s="4" t="s">
        <v>439</v>
      </c>
      <c r="E3" s="4" t="s">
        <v>440</v>
      </c>
    </row>
    <row r="4" ht="31" spans="1:26">
      <c r="A4" s="5" t="s">
        <v>24</v>
      </c>
      <c r="B4" s="6" t="s">
        <v>441</v>
      </c>
      <c r="C4" s="6" t="s">
        <v>442</v>
      </c>
      <c r="D4" s="6" t="s">
        <v>443</v>
      </c>
      <c r="E4" s="6" t="s">
        <v>444</v>
      </c>
    </row>
    <row r="5" ht="31" spans="1:26">
      <c r="A5" s="5" t="s">
        <v>25</v>
      </c>
      <c r="B5" s="6" t="s">
        <v>445</v>
      </c>
      <c r="C5" s="6" t="s">
        <v>446</v>
      </c>
      <c r="D5" s="6" t="s">
        <v>447</v>
      </c>
      <c r="E5" s="6" t="s">
        <v>448</v>
      </c>
    </row>
    <row r="6" spans="1:26">
      <c r="A6" s="5" t="s">
        <v>218</v>
      </c>
      <c r="B6" s="6" t="s">
        <v>449</v>
      </c>
      <c r="C6" s="6" t="s">
        <v>450</v>
      </c>
      <c r="D6" s="6" t="s">
        <v>451</v>
      </c>
      <c r="E6" s="6" t="s">
        <v>452</v>
      </c>
    </row>
    <row r="7" spans="1:26">
      <c r="A7" s="5" t="s">
        <v>453</v>
      </c>
      <c r="B7" s="6" t="s">
        <v>454</v>
      </c>
      <c r="C7" s="6" t="s">
        <v>455</v>
      </c>
      <c r="D7" s="6" t="s">
        <v>456</v>
      </c>
      <c r="E7" s="6" t="s">
        <v>457</v>
      </c>
    </row>
    <row r="8" spans="1:26">
      <c r="A8" s="5" t="s">
        <v>458</v>
      </c>
      <c r="B8" s="6" t="s">
        <v>459</v>
      </c>
      <c r="C8" s="6" t="s">
        <v>460</v>
      </c>
      <c r="D8" s="6" t="s">
        <v>461</v>
      </c>
      <c r="E8" s="6" t="s">
        <v>462</v>
      </c>
    </row>
    <row r="9" spans="1:26">
      <c r="A9" s="5" t="s">
        <v>290</v>
      </c>
      <c r="B9" s="6" t="s">
        <v>463</v>
      </c>
      <c r="C9" s="6" t="s">
        <v>410</v>
      </c>
      <c r="D9" s="6" t="s">
        <v>464</v>
      </c>
      <c r="E9" s="6" t="s">
        <v>465</v>
      </c>
    </row>
    <row r="10" spans="1:26">
      <c r="A10" s="5" t="s">
        <v>417</v>
      </c>
      <c r="B10" s="6" t="s">
        <v>466</v>
      </c>
      <c r="C10" s="6" t="s">
        <v>467</v>
      </c>
      <c r="D10" s="6" t="s">
        <v>468</v>
      </c>
      <c r="E10" s="6" t="s">
        <v>469</v>
      </c>
    </row>
    <row r="11" spans="1:26">
      <c r="A11" s="5" t="s">
        <v>63</v>
      </c>
      <c r="B11" s="6" t="s">
        <v>470</v>
      </c>
      <c r="C11" s="6" t="s">
        <v>471</v>
      </c>
      <c r="D11" s="6" t="s">
        <v>472</v>
      </c>
      <c r="E11" s="6" t="s">
        <v>473</v>
      </c>
    </row>
    <row r="12" spans="1:26">
      <c r="A12" s="5" t="s">
        <v>65</v>
      </c>
      <c r="B12" s="6" t="s">
        <v>474</v>
      </c>
      <c r="C12" s="6" t="s">
        <v>475</v>
      </c>
      <c r="D12" s="6" t="s">
        <v>476</v>
      </c>
      <c r="E12" s="6" t="s">
        <v>477</v>
      </c>
    </row>
    <row r="13" spans="1:26">
      <c r="A13" s="5" t="s">
        <v>97</v>
      </c>
      <c r="B13" s="6" t="s">
        <v>478</v>
      </c>
      <c r="C13" s="6" t="s">
        <v>479</v>
      </c>
      <c r="D13" s="6" t="s">
        <v>480</v>
      </c>
      <c r="E13" s="6" t="s">
        <v>481</v>
      </c>
    </row>
  </sheetData>
  <mergeCells count="1">
    <mergeCell ref="A1:E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00_LaaS收益来源</vt:lpstr>
      <vt:lpstr>01_Dashboard</vt:lpstr>
      <vt:lpstr>02_Inputs</vt:lpstr>
      <vt:lpstr>03_Baseline</vt:lpstr>
      <vt:lpstr>04_Mode_Params</vt:lpstr>
      <vt:lpstr>05_Annual_Model</vt:lpstr>
      <vt:lpstr>06_Sensitivity</vt:lpstr>
      <vt:lpstr>07_Model_Checks</vt:lpstr>
      <vt:lpstr>08_Calc_Logic</vt:lpstr>
      <vt:lpstr>09_Glossary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bestt</cp:lastModifiedBy>
  <dcterms:created xsi:type="dcterms:W3CDTF">2026-04-25T23:25:00Z</dcterms:created>
  <dcterms:modified xsi:type="dcterms:W3CDTF">2026-04-26T10:58:21Z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BDA96FC7D9638EE44D7FED692B7FA1B2_42</vt:lpwstr>
  </property>
  <property fmtid="{D5CDD505-2E9C-101B-9397-08002B2CF9AE}" pid="3" name="KSOProductBuildVer">
    <vt:lpwstr>1033-12.1.25205.25205</vt:lpwstr>
  </property>
  <property fmtid="{D5CDD505-2E9C-101B-9397-08002B2CF9AE}" pid="4" name="CalculationRule">
    <vt:i4>0</vt:i4>
  </property>
</Properties>
</file>