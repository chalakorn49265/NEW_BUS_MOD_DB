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LaaS收益来源" sheetId="1" state="visible" r:id="rId1"/>
    <sheet name="01_Dashboard" sheetId="2" state="visible" r:id="rId2"/>
    <sheet name="02_Inputs" sheetId="3" state="visible" r:id="rId3"/>
    <sheet name="03_Baseline" sheetId="4" state="visible" r:id="rId4"/>
    <sheet name="04_Mode_Params" sheetId="5" state="visible" r:id="rId5"/>
    <sheet name="05_Annual_Model" sheetId="6" state="visible" r:id="rId6"/>
    <sheet name="06_Sensitivity" sheetId="7" state="visible" r:id="rId7"/>
    <sheet name="07_Model_Checks" sheetId="8" state="visible" r:id="rId8"/>
    <sheet name="08_Calc_Logic" sheetId="9" state="visible" r:id="rId9"/>
    <sheet name="09_Glossary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¥#,##0;[Red](¥#,##0);-"/>
    <numFmt numFmtId="166" formatCode="0.00;[Red](0.00);-"/>
    <numFmt numFmtId="167" formatCode="0.0%;[Red](0.0%);-"/>
  </numFmts>
  <fonts count="9">
    <font>
      <name val="Carlito"/>
      <sz val="11"/>
    </font>
    <font>
      <name val="Arial"/>
      <b val="1"/>
      <color rgb="00111827"/>
      <sz val="16"/>
    </font>
    <font>
      <name val="Arial"/>
      <color rgb="006B7280"/>
      <sz val="10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0000FF"/>
      <sz val="10"/>
    </font>
    <font>
      <name val="Arial"/>
      <b val="1"/>
      <color rgb="00111827"/>
      <sz val="11"/>
    </font>
    <font>
      <name val="Arial"/>
      <color rgb="00000000"/>
      <sz val="10"/>
    </font>
    <font>
      <name val="Arial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E8F0F8"/>
      </patternFill>
    </fill>
    <fill>
      <patternFill patternType="solid">
        <fgColor rgb="00FEF3C7"/>
      </patternFill>
    </fill>
    <fill>
      <patternFill patternType="solid">
        <fgColor rgb="00FFF7D6"/>
      </patternFill>
    </fill>
  </fills>
  <borders count="8">
    <border/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top style="thin">
        <color rgb="00E5E7EB"/>
      </top>
      <bottom style="thin">
        <color rgb="00E5E7EB"/>
      </bottom>
    </border>
    <border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1"/>
  </cellStyleXfs>
  <cellXfs count="19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5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165" fontId="6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0" fontId="6" fillId="4" borderId="2" applyAlignment="1" pivotButton="0" quotePrefix="0" xfId="0">
      <alignment horizontal="left" vertical="center"/>
    </xf>
    <xf numFmtId="165" fontId="6" fillId="4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/>
    </xf>
    <xf numFmtId="164" fontId="5" fillId="0" borderId="3" applyAlignment="1" pivotButton="0" quotePrefix="0" xfId="0">
      <alignment vertical="center"/>
    </xf>
    <xf numFmtId="165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0" fontId="6" fillId="4" borderId="3" applyAlignment="1" pivotButton="0" quotePrefix="0" xfId="0">
      <alignment horizontal="left" vertical="center"/>
    </xf>
    <xf numFmtId="165" fontId="6" fillId="4" borderId="3" applyAlignment="1" pivotButton="0" quotePrefix="0" xfId="0">
      <alignment horizontal="left" vertical="center"/>
    </xf>
    <xf numFmtId="0" fontId="4" fillId="0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4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1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5" fontId="7" fillId="0" borderId="1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7" fillId="5" borderId="0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6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165" fontId="7" fillId="5" borderId="2" applyAlignment="1" pivotButton="0" quotePrefix="0" xfId="0">
      <alignment vertical="center"/>
    </xf>
    <xf numFmtId="164" fontId="7" fillId="0" borderId="3" applyAlignment="1" pivotButton="0" quotePrefix="0" xfId="0">
      <alignment vertical="center"/>
    </xf>
    <xf numFmtId="166" fontId="7" fillId="0" borderId="3" applyAlignment="1" pivotButton="0" quotePrefix="0" xfId="0">
      <alignment vertical="center"/>
    </xf>
    <xf numFmtId="165" fontId="7" fillId="0" borderId="3" applyAlignment="1" pivotButton="0" quotePrefix="0" xfId="0">
      <alignment vertical="center"/>
    </xf>
    <xf numFmtId="0" fontId="4" fillId="5" borderId="3" applyAlignment="1" pivotButton="0" quotePrefix="0" xfId="0">
      <alignment vertical="center"/>
    </xf>
    <xf numFmtId="165" fontId="7" fillId="5" borderId="3" applyAlignment="1" pivotButton="0" quotePrefix="0" xfId="0">
      <alignment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4" fontId="7" fillId="0" borderId="3" applyAlignment="1" pivotButton="0" quotePrefix="0" xfId="0">
      <alignment vertical="center" wrapText="1"/>
    </xf>
    <xf numFmtId="166" fontId="7" fillId="0" borderId="3" applyAlignment="1" pivotButton="0" quotePrefix="0" xfId="0">
      <alignment vertical="center" wrapText="1"/>
    </xf>
    <xf numFmtId="165" fontId="7" fillId="0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165" fontId="7" fillId="5" borderId="3" applyAlignment="1" pivotButton="0" quotePrefix="0" xfId="0">
      <alignment vertical="center" wrapText="1"/>
    </xf>
    <xf numFmtId="167" fontId="7" fillId="0" borderId="0" applyAlignment="1" pivotButton="0" quotePrefix="0" xfId="0">
      <alignment vertical="center"/>
    </xf>
    <xf numFmtId="167" fontId="7" fillId="0" borderId="1" applyAlignment="1" pivotButton="0" quotePrefix="0" xfId="0">
      <alignment vertical="center"/>
    </xf>
    <xf numFmtId="167" fontId="7" fillId="5" borderId="0" applyAlignment="1" pivotButton="0" quotePrefix="0" xfId="0">
      <alignment vertical="center"/>
    </xf>
    <xf numFmtId="167" fontId="7" fillId="5" borderId="1" applyAlignment="1" pivotButton="0" quotePrefix="0" xfId="0">
      <alignment vertical="center"/>
    </xf>
    <xf numFmtId="167" fontId="7" fillId="0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7" fontId="7" fillId="0" borderId="3" applyAlignment="1" pivotButton="0" quotePrefix="0" xfId="0">
      <alignment vertical="center"/>
    </xf>
    <xf numFmtId="167" fontId="7" fillId="5" borderId="3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4" fillId="0" borderId="3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0" borderId="3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" fontId="4" fillId="0" borderId="3" applyAlignment="1" pivotButton="0" quotePrefix="0" xfId="0">
      <alignment vertical="center"/>
    </xf>
    <xf numFmtId="165" fontId="4" fillId="5" borderId="2" applyAlignment="1" pivotButton="0" quotePrefix="0" xfId="0">
      <alignment vertical="center"/>
    </xf>
    <xf numFmtId="165" fontId="4" fillId="5" borderId="3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5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5" fontId="3" fillId="5" borderId="3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65" fontId="4" fillId="6" borderId="3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67" fontId="4" fillId="6" borderId="3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6" borderId="3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7" fontId="0" fillId="0" borderId="0" pivotButton="0" quotePrefix="0" xfId="0"/>
    <xf numFmtId="167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2" pivotButton="0" quotePrefix="0" xfId="0"/>
    <xf numFmtId="167" fontId="0" fillId="0" borderId="2" pivotButton="0" quotePrefix="0" xfId="0"/>
    <xf numFmtId="165" fontId="0" fillId="0" borderId="2" pivotButton="0" quotePrefix="0" xfId="0"/>
    <xf numFmtId="0" fontId="0" fillId="0" borderId="3" pivotButton="0" quotePrefix="0" xfId="0"/>
    <xf numFmtId="167" fontId="0" fillId="0" borderId="3" pivotButton="0" quotePrefix="0" xfId="0"/>
    <xf numFmtId="165" fontId="0" fillId="0" borderId="3" pivotButton="0" quotePrefix="0" xfId="0"/>
    <xf numFmtId="0" fontId="0" fillId="4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horizontal="left"/>
    </xf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left"/>
    </xf>
    <xf numFmtId="164" fontId="0" fillId="0" borderId="0" pivotButton="0" quotePrefix="0" xfId="0"/>
    <xf numFmtId="164" fontId="0" fillId="0" borderId="1" pivotButton="0" quotePrefix="0" xfId="0"/>
    <xf numFmtId="1" fontId="7" fillId="0" borderId="0" applyAlignment="1" pivotButton="0" quotePrefix="0" xfId="0">
      <alignment vertical="center"/>
    </xf>
    <xf numFmtId="1" fontId="7" fillId="0" borderId="1" applyAlignment="1" pivotButton="0" quotePrefix="0" xfId="0">
      <alignment vertical="center"/>
    </xf>
    <xf numFmtId="164" fontId="0" fillId="0" borderId="2" pivotButton="0" quotePrefix="0" xfId="0"/>
    <xf numFmtId="164" fontId="0" fillId="0" borderId="3" pivotButton="0" quotePrefix="0" xfId="0"/>
    <xf numFmtId="1" fontId="7" fillId="0" borderId="2" applyAlignment="1" pivotButton="0" quotePrefix="0" xfId="0">
      <alignment vertical="center"/>
    </xf>
    <xf numFmtId="1" fontId="7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0" fillId="0" borderId="0" pivotButton="0" quotePrefix="0" xfId="0"/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0" fontId="4" fillId="6" borderId="2" applyAlignment="1" pivotButton="0" quotePrefix="0" xfId="0">
      <alignment vertical="center"/>
    </xf>
    <xf numFmtId="0" fontId="4" fillId="6" borderId="2" applyAlignment="1" pivotButton="0" quotePrefix="0" xfId="0">
      <alignment vertical="center" wrapText="1"/>
    </xf>
    <xf numFmtId="0" fontId="4" fillId="6" borderId="3" applyAlignment="1" pivotButton="0" quotePrefix="0" xfId="0">
      <alignment vertical="center"/>
    </xf>
    <xf numFmtId="0" fontId="4" fillId="6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165" fontId="8" fillId="4" borderId="2" applyAlignment="1" pivotButton="0" quotePrefix="0" xfId="0">
      <alignment horizontal="left" vertical="center"/>
    </xf>
    <xf numFmtId="165" fontId="8" fillId="4" borderId="3" applyAlignment="1" pivotButton="0" quotePrefix="0" xfId="0">
      <alignment horizontal="left" vertical="center"/>
    </xf>
    <xf numFmtId="0" fontId="4" fillId="2" borderId="0" pivotButton="0" quotePrefix="0" xfId="0"/>
    <xf numFmtId="0" fontId="4" fillId="2" borderId="1" pivotButton="0" quotePrefix="0" xfId="0"/>
    <xf numFmtId="164" fontId="0" fillId="0" borderId="2" pivotButton="0" quotePrefix="0" xfId="0"/>
    <xf numFmtId="166" fontId="0" fillId="0" borderId="2" pivotButton="0" quotePrefix="0" xfId="0"/>
    <xf numFmtId="165" fontId="0" fillId="0" borderId="2" pivotButton="0" quotePrefix="0" xfId="0"/>
    <xf numFmtId="167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10" fontId="7" fillId="0" borderId="2" applyAlignment="1" pivotButton="0" quotePrefix="0" xfId="0">
      <alignment vertical="center"/>
    </xf>
    <xf numFmtId="1" fontId="7" fillId="0" borderId="2" applyAlignment="1" pivotButton="0" quotePrefix="0" xfId="0">
      <alignment vertical="center"/>
    </xf>
    <xf numFmtId="164" fontId="5" fillId="0" borderId="2" applyAlignment="1" pivotButton="0" quotePrefix="0" xfId="0">
      <alignment vertical="center"/>
    </xf>
    <xf numFmtId="165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vertical="center"/>
    </xf>
    <xf numFmtId="167" fontId="5" fillId="0" borderId="2" applyAlignment="1" pivotButton="0" quotePrefix="0" xfId="0">
      <alignment vertical="center"/>
    </xf>
    <xf numFmtId="165" fontId="8" fillId="4" borderId="2" applyAlignment="1" pivotButton="0" quotePrefix="0" xfId="0">
      <alignment horizontal="left" vertical="center"/>
    </xf>
    <xf numFmtId="164" fontId="7" fillId="0" borderId="2" applyAlignment="1" pivotButton="0" quotePrefix="0" xfId="0">
      <alignment vertical="center" wrapText="1"/>
    </xf>
    <xf numFmtId="166" fontId="7" fillId="0" borderId="2" applyAlignment="1" pivotButton="0" quotePrefix="0" xfId="0">
      <alignment vertical="center" wrapText="1"/>
    </xf>
    <xf numFmtId="165" fontId="7" fillId="0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 wrapText="1"/>
    </xf>
    <xf numFmtId="165" fontId="7" fillId="5" borderId="2" applyAlignment="1" pivotButton="0" quotePrefix="0" xfId="0">
      <alignment vertical="center"/>
    </xf>
    <xf numFmtId="167" fontId="7" fillId="5" borderId="2" applyAlignment="1" pivotButton="0" quotePrefix="0" xfId="0">
      <alignment vertical="center"/>
    </xf>
    <xf numFmtId="165" fontId="4" fillId="0" borderId="2" applyAlignment="1" pivotButton="0" quotePrefix="0" xfId="0">
      <alignment vertical="center"/>
    </xf>
    <xf numFmtId="165" fontId="6" fillId="4" borderId="2" applyAlignment="1" pivotButton="0" quotePrefix="0" xfId="0">
      <alignment horizontal="left" vertical="center"/>
    </xf>
    <xf numFmtId="165" fontId="3" fillId="5" borderId="2" applyAlignment="1" pivotButton="0" quotePrefix="0" xfId="0">
      <alignment vertical="center"/>
    </xf>
    <xf numFmtId="165" fontId="4" fillId="6" borderId="2" applyAlignment="1" pivotButton="0" quotePrefix="0" xfId="0">
      <alignment vertical="center"/>
    </xf>
    <xf numFmtId="10" fontId="4" fillId="6" borderId="2" applyAlignment="1" pivotButton="0" quotePrefix="0" xfId="0">
      <alignment vertical="center"/>
    </xf>
    <xf numFmtId="167" fontId="4" fillId="0" borderId="2" applyAlignment="1" pivotButton="0" quotePrefix="0" xfId="0">
      <alignment vertical="center"/>
    </xf>
    <xf numFmtId="167" fontId="4" fillId="6" borderId="2" applyAlignment="1" pivotButton="0" quotePrefix="0" xfId="0">
      <alignment vertical="center"/>
    </xf>
    <xf numFmtId="1" fontId="4" fillId="6" borderId="2" applyAlignment="1" pivotButton="0" quotePrefix="0" xfId="0">
      <alignment vertical="center"/>
    </xf>
    <xf numFmtId="1" fontId="4" fillId="0" borderId="2" applyAlignment="1" pivotButton="0" quotePrefix="0" xfId="0">
      <alignment vertical="center"/>
    </xf>
    <xf numFmtId="167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Z35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28" customWidth="1" min="2" max="2"/>
    <s:col width="18" customWidth="1" min="3" max="3"/>
    <s:col width="18" customWidth="1" min="4" max="4"/>
    <s:col width="18" customWidth="1" min="5" max="5"/>
    <s:col width="20" customWidth="1" min="6" max="6"/>
    <s:col width="26" customWidth="1" min="7" max="7"/>
    <s:col width="50" customWidth="1" min="8" max="8"/>
    <s:col width="8" customWidth="1" min="9" max="9"/>
  </s:cols>
  <s:sheetData>
    <s:row r="1" ht="26" customHeight="1">
      <s:c r="A1" s="5" t="inlineStr">
        <s:is>
          <s:t>同等条件下：LaaS 相比能源托管的收益体现在哪里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本页专门回答：在同样灯具规模、同样电价、同样业主年度付费预算下，LaaS相对能源托管的增量收益来自哪里；同时指出LaaS更高CAPEX和平台成本带来的回报压力。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2" t="inlineStr">
        <s:is>
          <s:t>同等条件快照</s:t>
        </s:is>
      </s:c>
      <s:c r="B4" s="1" t="n"/>
      <s:c r="C4" s="1" t="n"/>
      <s:c r="D4" s="1" t="n"/>
      <s:c r="E4" s="1" t="n"/>
      <s:c r="F4" s="1" t="n"/>
      <s:c r="G4" s="1" t="n"/>
      <s:c r="H4" s="1" t="n"/>
      <s:c r="I4" s="1" t="n"/>
    </s:row>
    <s:row r="5">
      <s:c r="A5" s="44" t="inlineStr">
        <s:is>
          <s:t>条件项</s:t>
        </s:is>
      </s:c>
      <s:c r="B5" s="44" t="inlineStr">
        <s:is>
          <s:t>单位</s:t>
        </s:is>
      </s:c>
      <s:c r="C5" s="44" t="inlineStr">
        <s:is>
          <s:t>数值/状态</s:t>
        </s:is>
      </s:c>
      <s:c r="D5" s="44" t="inlineStr">
        <s:is>
          <s:t>说明</s:t>
        </s:is>
      </s:c>
      <s:c r="E5" s="44" t="str"/>
      <s:c r="F5" s="44" t="str"/>
      <s:c r="G5" s="44" t="str"/>
      <s:c r="H5" s="44" t="str"/>
      <s:c r="I5" s="44" t="str"/>
    </s:row>
    <s:row r="6">
      <s:c r="A6" s="130" t="inlineStr">
        <s:is>
          <s:t>灯具数量</s:t>
        </s:is>
      </s:c>
      <s:c r="B6" s="130" t="inlineStr">
        <s:is>
          <s:t>盏</s:t>
        </s:is>
      </s:c>
      <s:c r="C6" s="168">
        <s:f>'03_Baseline'!D5</s:f>
        <s:v/>
      </s:c>
      <s:c r="D6" s="130" t="inlineStr">
        <s:is>
          <s:t>两种模式一致</s:t>
        </s:is>
      </s:c>
      <s:c r="E6" s="130" t="n"/>
      <s:c r="F6" s="130" t="n"/>
      <s:c r="G6" s="130" t="n"/>
      <s:c r="H6" s="130" t="n"/>
      <s:c r="I6" s="130" t="n"/>
    </s:row>
    <s:row r="7">
      <s:c r="A7" s="130" t="inlineStr">
        <s:is>
          <s:t>电价</s:t>
        </s:is>
      </s:c>
      <s:c r="B7" s="130" t="inlineStr">
        <s:is>
          <s:t>元/kWh</s:t>
        </s:is>
      </s:c>
      <s:c r="C7" s="169">
        <s:f>'03_Baseline'!D11</s:f>
        <s:v/>
      </s:c>
      <s:c r="D7" s="130" t="inlineStr">
        <s:is>
          <s:t>两种模式一致</s:t>
        </s:is>
      </s:c>
      <s:c r="E7" s="130" t="n"/>
      <s:c r="F7" s="130" t="n"/>
      <s:c r="G7" s="130" t="n"/>
      <s:c r="H7" s="130" t="n"/>
      <s:c r="I7" s="130" t="n"/>
    </s:row>
    <s:row r="8">
      <s:c r="A8" s="130" t="inlineStr">
        <s:is>
          <s:t>基准年电费</s:t>
        </s:is>
      </s:c>
      <s:c r="B8" s="130" t="inlineStr">
        <s:is>
          <s:t>元/年</s:t>
        </s:is>
      </s:c>
      <s:c r="C8" s="170">
        <s:f>'03_Baseline'!D12</s:f>
        <s:v/>
      </s:c>
      <s:c r="D8" s="130" t="inlineStr">
        <s:is>
          <s:t>两种模式一致</s:t>
        </s:is>
      </s:c>
      <s:c r="E8" s="130" t="n"/>
      <s:c r="F8" s="130" t="n"/>
      <s:c r="G8" s="130" t="n"/>
      <s:c r="H8" s="130" t="n"/>
      <s:c r="I8" s="130" t="n"/>
    </s:row>
    <s:row r="9">
      <s:c r="A9" s="130" t="inlineStr">
        <s:is>
          <s:t>基准年运维费</s:t>
        </s:is>
      </s:c>
      <s:c r="B9" s="130" t="inlineStr">
        <s:is>
          <s:t>元/年</s:t>
        </s:is>
      </s:c>
      <s:c r="C9" s="170">
        <s:f>'03_Baseline'!D14</s:f>
        <s:v/>
      </s:c>
      <s:c r="D9" s="130" t="inlineStr">
        <s:is>
          <s:t>两种模式一致</s:t>
        </s:is>
      </s:c>
      <s:c r="E9" s="130" t="n"/>
      <s:c r="F9" s="130" t="n"/>
      <s:c r="G9" s="130" t="n"/>
      <s:c r="H9" s="130" t="n"/>
      <s:c r="I9" s="130" t="n"/>
    </s:row>
    <s:row r="10">
      <s:c r="A10" s="130" t="inlineStr">
        <s:is>
          <s:t>业主年度付费预算</s:t>
        </s:is>
      </s:c>
      <s:c r="B10" s="130" t="inlineStr">
        <s:is>
          <s:t>元/年</s:t>
        </s:is>
      </s:c>
      <s:c r="C10" s="170">
        <s:f>'03_Baseline'!D16</s:f>
        <s:v/>
      </s:c>
      <s:c r="D10" s="130" t="inlineStr">
        <s:is>
          <s:t>默认两种模式均为100万元/年，可在Inputs修改</s:t>
        </s:is>
      </s:c>
      <s:c r="E10" s="130" t="n"/>
      <s:c r="F10" s="130" t="n"/>
      <s:c r="G10" s="130" t="n"/>
      <s:c r="H10" s="130" t="n"/>
      <s:c r="I10" s="130" t="n"/>
    </s:row>
    <s:row r="11">
      <s:c r="A11" s="130" t="inlineStr">
        <s:is>
          <s:t>能源托管/LaaS年费是否相同</s:t>
        </s:is>
      </s:c>
      <s:c r="B11" s="130" t="inlineStr">
        <s:is>
          <s:t>TRUE/FALSE</s:t>
        </s:is>
      </s:c>
      <s:c r="C11" s="130">
        <s:f>'04_Mode_Params'!C6='04_Mode_Params'!D6</s:f>
        <s:v/>
      </s:c>
      <s:c r="D11" s="130" t="inlineStr">
        <s:is>
          <s:t>TRUE表示在同样业主付费条件下比较</s:t>
        </s:is>
      </s:c>
      <s:c r="E11" s="130" t="n"/>
      <s:c r="F11" s="130" t="n"/>
      <s:c r="G11" s="130" t="n"/>
      <s:c r="H11" s="130" t="n"/>
      <s:c r="I11" s="130" t="n"/>
    </s:row>
    <s:row r="13">
      <s:c r="A13" s="42" t="inlineStr">
        <s:is>
          <s:t>LaaS 相对能源托管的增量收益/成本拆解</s:t>
        </s:is>
      </s:c>
      <s:c r="B13" s="1" t="n"/>
      <s:c r="C13" s="1" t="n"/>
      <s:c r="D13" s="1" t="n"/>
      <s:c r="E13" s="1" t="n"/>
      <s:c r="F13" s="1" t="n"/>
      <s:c r="G13" s="1" t="n"/>
      <s:c r="H13" s="1" t="n"/>
      <s:c r="I13" s="1" t="n"/>
    </s:row>
    <s:row r="14">
      <s:c r="A14" s="44" t="inlineStr">
        <s:is>
          <s:t>维度</s:t>
        </s:is>
      </s:c>
      <s:c r="B14" s="44" t="inlineStr">
        <s:is>
          <s:t>口径</s:t>
        </s:is>
      </s:c>
      <s:c r="C14" s="44" t="inlineStr">
        <s:is>
          <s:t>能源托管/EMC</s:t>
        </s:is>
      </s:c>
      <s:c r="D14" s="44" t="inlineStr">
        <s:is>
          <s:t>LaaS/AI订阅</s:t>
        </s:is>
      </s:c>
      <s:c r="E14" s="44" t="inlineStr">
        <s:is>
          <s:t>LaaS相对增益</s:t>
        </s:is>
      </s:c>
      <s:c r="F14" s="44" t="inlineStr">
        <s:is>
          <s:t>增益归属</s:t>
        </s:is>
      </s:c>
      <s:c r="G14" s="44" t="inlineStr">
        <s:is>
          <s:t>结论</s:t>
        </s:is>
      </s:c>
      <s:c r="H14" s="44" t="inlineStr">
        <s:is>
          <s:t>说明</s:t>
        </s:is>
      </s:c>
      <s:c r="I14" s="44" t="str"/>
    </s:row>
    <s:row r="15">
      <s:c r="A15" s="45" t="inlineStr">
        <s:is>
          <s:t>综合节电率</s:t>
        </s:is>
      </s:c>
      <s:c r="B15" s="45" t="inlineStr">
        <s:is>
          <s:t>越高越好</s:t>
        </s:is>
      </s:c>
      <s:c r="C15" s="171">
        <s:f>'04_Mode_Params'!C8</s:f>
        <s:v>0.5</s:v>
      </s:c>
      <s:c r="D15" s="171">
        <s:f>'04_Mode_Params'!D8</s:f>
        <s:v>0.999</s:v>
      </s:c>
      <s:c r="E15" s="171">
        <s:f>D15-C15</s:f>
        <s:v/>
      </s:c>
      <s:c r="F15" s="45" t="inlineStr">
        <s:is>
          <s:t>业主/承担电费方</s:t>
        </s:is>
      </s:c>
      <s:c r="G15" s="152">
        <s:f>IF(E15&gt;0,"LaaS更优","未体现优势")</s:f>
        <s:v/>
      </s:c>
      <s:c r="H15" s="60" t="inlineStr">
        <s:is>
          <s:t>LaaS通过AI调光、异常识别、精细化控制提升节电率。</s:t>
        </s:is>
      </s:c>
      <s:c r="I15" s="45" t="n"/>
    </s:row>
    <s:row r="16">
      <s:c r="A16" s="45" t="inlineStr">
        <s:is>
          <s:t>首年节电量</s:t>
        </s:is>
      </s:c>
      <s:c r="B16" s="45" t="inlineStr">
        <s:is>
          <s:t>kWh/年，越高越好</s:t>
        </s:is>
      </s:c>
      <s:c r="C16" s="172">
        <s:f>'03_Baseline'!D10*'04_Mode_Params'!C8</s:f>
        <s:v>2056000.0</s:v>
      </s:c>
      <s:c r="D16" s="172">
        <s:f>'03_Baseline'!D10*'04_Mode_Params'!D8</s:f>
        <s:v>4107888.0</s:v>
      </s:c>
      <s:c r="E16" s="172">
        <s:f>D16-C16</s:f>
        <s:v/>
      </s:c>
      <s:c r="F16" s="45" t="inlineStr">
        <s:is>
          <s:t>业主/承担电费方</s:t>
        </s:is>
      </s:c>
      <s:c r="G16" s="152">
        <s:f>IF(E16&gt;0,"LaaS更优","未体现优势")</s:f>
        <s:v/>
      </s:c>
      <s:c r="H16" s="60" t="inlineStr">
        <s:is>
          <s:t>基于现状年用电量×节电率。</s:t>
        </s:is>
      </s:c>
      <s:c r="I16" s="45" t="n"/>
    </s:row>
    <s:row r="17">
      <s:c r="A17" s="45" t="inlineStr">
        <s:is>
          <s:t>首年电费节省</s:t>
        </s:is>
      </s:c>
      <s:c r="B17" s="45" t="inlineStr">
        <s:is>
          <s:t>元/年，越高越好</s:t>
        </s:is>
      </s:c>
      <s:c r="C17" s="172">
        <s:f>'03_Baseline'!D12-'04_Mode_Params'!C9</s:f>
        <s:v>1028000.0</s:v>
      </s:c>
      <s:c r="D17" s="172">
        <s:f>'03_Baseline'!D12-'04_Mode_Params'!D9</s:f>
        <s:v>2053944.0</s:v>
      </s:c>
      <s:c r="E17" s="172">
        <s:f>D17-C17</s:f>
        <s:v/>
      </s:c>
      <s:c r="F17" s="45" t="inlineStr">
        <s:is>
          <s:t>业主/承担电费方</s:t>
        </s:is>
      </s:c>
      <s:c r="G17" s="152">
        <s:f>IF(E17&gt;0,"LaaS更优","未体现优势")</s:f>
        <s:v/>
      </s:c>
      <s:c r="H17" s="60" t="inlineStr">
        <s:is>
          <s:t>如果业主继续付电费，该收益主要归业主；如果服务商承担电费，该收益归服务商。</s:t>
        </s:is>
      </s:c>
      <s:c r="I17" s="45" t="n"/>
    </s:row>
    <s:row r="18">
      <s:c r="A18" s="45" t="inlineStr">
        <s:is>
          <s:t>业主年度总支出</s:t>
        </s:is>
      </s:c>
      <s:c r="B18" s="45" t="inlineStr">
        <s:is>
          <s:t>元/年，越低越好</s:t>
        </s:is>
      </s:c>
      <s:c r="C18" s="173">
        <s:f>'04_Mode_Params'!C19</s:f>
        <s:v/>
      </s:c>
      <s:c r="D18" s="173">
        <s:f>'04_Mode_Params'!D19</s:f>
        <s:v/>
      </s:c>
      <s:c r="E18" s="173">
        <s:f>C18-D18</s:f>
        <s:v/>
      </s:c>
      <s:c r="F18" s="45" t="inlineStr">
        <s:is>
          <s:t>业主</s:t>
        </s:is>
      </s:c>
      <s:c r="G18" s="152">
        <s:f>IF(E18&gt;0,"LaaS让业主少支出",IF(E18&lt;0,"LaaS让业主多支出","相同"))</s:f>
        <s:v/>
      </s:c>
      <s:c r="H18" s="60" t="inlineStr">
        <s:is>
          <s:t>服务费+业主承担电费+保留管理成本。</s:t>
        </s:is>
      </s:c>
      <s:c r="I18" s="45" t="n"/>
    </s:row>
    <s:row r="19">
      <s:c r="A19" s="45" t="inlineStr">
        <s:is>
          <s:t>业主年度净节省</s:t>
        </s:is>
      </s:c>
      <s:c r="B19" s="45" t="inlineStr">
        <s:is>
          <s:t>元/年，越高越好</s:t>
        </s:is>
      </s:c>
      <s:c r="C19" s="173">
        <s:f>'04_Mode_Params'!C20</s:f>
        <s:v/>
      </s:c>
      <s:c r="D19" s="173">
        <s:f>'04_Mode_Params'!D20</s:f>
        <s:v/>
      </s:c>
      <s:c r="E19" s="173">
        <s:f>D19-C19</s:f>
        <s:v/>
      </s:c>
      <s:c r="F19" s="45" t="inlineStr">
        <s:is>
          <s:t>业主</s:t>
        </s:is>
      </s:c>
      <s:c r="G19" s="152">
        <s:f>IF(E19&gt;0,"LaaS让业主多节省",IF(E19&lt;0,"能源托管更多节省","相同"))</s:f>
        <s:v/>
      </s:c>
      <s:c r="H19" s="60" t="inlineStr">
        <s:is>
          <s:t>相对不改造基准总成本。</s:t>
        </s:is>
      </s:c>
      <s:c r="I19" s="45" t="n"/>
    </s:row>
    <s:row r="20">
      <s:c r="A20" s="45" t="inlineStr">
        <s:is>
          <s:t>服务商年度收入合计</s:t>
        </s:is>
      </s:c>
      <s:c r="B20" s="45" t="inlineStr">
        <s:is>
          <s:t>元/年，越高越好</s:t>
        </s:is>
      </s:c>
      <s:c r="C20" s="173">
        <s:f>'04_Mode_Params'!C16</s:f>
        <s:v/>
      </s:c>
      <s:c r="D20" s="173">
        <s:f>'04_Mode_Params'!D16</s:f>
        <s:v/>
      </s:c>
      <s:c r="E20" s="173">
        <s:f>D20-C20</s:f>
        <s:v/>
      </s:c>
      <s:c r="F20" s="45" t="inlineStr">
        <s:is>
          <s:t>服务商</s:t>
        </s:is>
      </s:c>
      <s:c r="G20" s="152">
        <s:f>IF(E20&gt;0,"LaaS收入更高",IF(E20&lt;0,"能源托管收入更高","相同"))</s:f>
        <s:v/>
      </s:c>
      <s:c r="H20" s="60" t="inlineStr">
        <s:is>
          <s:t>固定服务/订阅费+第三方收入；默认年费相同，收入增量通常来自增值服务。</s:t>
        </s:is>
      </s:c>
      <s:c r="I20" s="45" t="n"/>
    </s:row>
    <s:row r="21">
      <s:c r="A21" s="45" t="inlineStr">
        <s:is>
          <s:t>服务商年度现金成本合计</s:t>
        </s:is>
      </s:c>
      <s:c r="B21" s="45" t="inlineStr">
        <s:is>
          <s:t>元/年，越低越好</s:t>
        </s:is>
      </s:c>
      <s:c r="C21" s="173">
        <s:f>'04_Mode_Params'!C17</s:f>
        <s:v/>
      </s:c>
      <s:c r="D21" s="173">
        <s:f>'04_Mode_Params'!D17</s:f>
        <s:v/>
      </s:c>
      <s:c r="E21" s="173">
        <s:f>C21-D21</s:f>
        <s:v/>
      </s:c>
      <s:c r="F21" s="45" t="inlineStr">
        <s:is>
          <s:t>服务商</s:t>
        </s:is>
      </s:c>
      <s:c r="G21" s="152">
        <s:f>IF(E21&gt;0,"LaaS成本更低",IF(E21&lt;0,"LaaS成本更高","相同"))</s:f>
        <s:v/>
      </s:c>
      <s:c r="H21" s="60" t="inlineStr">
        <s:is>
          <s:t>LaaS运维可能下降，但平台AI与升级成本通常上升。</s:t>
        </s:is>
      </s:c>
      <s:c r="I21" s="45" t="n"/>
    </s:row>
    <s:row r="22">
      <s:c r="A22" s="45" t="inlineStr">
        <s:is>
          <s:t>其中：运维成本</s:t>
        </s:is>
      </s:c>
      <s:c r="B22" s="45" t="inlineStr">
        <s:is>
          <s:t>元/年，越低越好</s:t>
        </s:is>
      </s:c>
      <s:c r="C22" s="173">
        <s:f>'04_Mode_Params'!C13</s:f>
        <s:v/>
      </s:c>
      <s:c r="D22" s="173">
        <s:f>'04_Mode_Params'!D13</s:f>
        <s:v/>
      </s:c>
      <s:c r="E22" s="173">
        <s:f>C22-D22</s:f>
        <s:v/>
      </s:c>
      <s:c r="F22" s="45" t="inlineStr">
        <s:is>
          <s:t>服务商</s:t>
        </s:is>
      </s:c>
      <s:c r="G22" s="152">
        <s:f>IF(E22&gt;0,"LaaS运维省钱",IF(E22&lt;0,"LaaS运维更贵","相同"))</s:f>
        <s:v/>
      </s:c>
      <s:c r="H22" s="60" t="inlineStr">
        <s:is>
          <s:t>LaaS通过远程诊断、工单系统、预测性维护降低人工巡检与抢修。</s:t>
        </s:is>
      </s:c>
      <s:c r="I22" s="45" t="n"/>
    </s:row>
    <s:row r="23">
      <s:c r="A23" s="45" t="inlineStr">
        <s:is>
          <s:t>其中：平台/升级成本</s:t>
        </s:is>
      </s:c>
      <s:c r="B23" s="45" t="inlineStr">
        <s:is>
          <s:t>元/年，越低越好</s:t>
        </s:is>
      </s:c>
      <s:c r="C23" s="173">
        <s:f>'04_Mode_Params'!C14+'04_Mode_Params'!C15</s:f>
        <s:v/>
      </s:c>
      <s:c r="D23" s="173">
        <s:f>'04_Mode_Params'!D14+'04_Mode_Params'!D15</s:f>
        <s:v/>
      </s:c>
      <s:c r="E23" s="173">
        <s:f>C23-D23</s:f>
        <s:v/>
      </s:c>
      <s:c r="F23" s="45" t="inlineStr">
        <s:is>
          <s:t>服务商</s:t>
        </s:is>
      </s:c>
      <s:c r="G23" s="152">
        <s:f>IF(E23&gt;0,"LaaS平台/升级成本更低",IF(E23&lt;0,"LaaS平台/升级成本更高","相同"))</s:f>
        <s:v/>
      </s:c>
      <s:c r="H23" s="60" t="inlineStr">
        <s:is>
          <s:t>LaaS通常更高，这是其商业模型必须覆盖的成本。</s:t>
        </s:is>
      </s:c>
      <s:c r="I23" s="45" t="n"/>
    </s:row>
    <s:row r="24">
      <s:c r="A24" s="45" t="inlineStr">
        <s:is>
          <s:t>服务商年度净经营现金流</s:t>
        </s:is>
      </s:c>
      <s:c r="B24" s="45" t="inlineStr">
        <s:is>
          <s:t>元/年，越高越好</s:t>
        </s:is>
      </s:c>
      <s:c r="C24" s="173">
        <s:f>'04_Mode_Params'!C18</s:f>
        <s:v/>
      </s:c>
      <s:c r="D24" s="173">
        <s:f>'04_Mode_Params'!D18</s:f>
        <s:v/>
      </s:c>
      <s:c r="E24" s="173">
        <s:f>D24-C24</s:f>
        <s:v/>
      </s:c>
      <s:c r="F24" s="45" t="inlineStr">
        <s:is>
          <s:t>服务商</s:t>
        </s:is>
      </s:c>
      <s:c r="G24" s="152">
        <s:f>IF(E24&gt;0,"LaaS经营现金流更高",IF(E24&lt;0,"能源托管经营现金流更高","相同"))</s:f>
        <s:v/>
      </s:c>
      <s:c r="H24" s="60" t="inlineStr">
        <s:is>
          <s:t>收入合计−年度现金成本，不含Y0 CAPEX。</s:t>
        </s:is>
      </s:c>
      <s:c r="I24" s="45" t="n"/>
    </s:row>
    <s:row r="25">
      <s:c r="A25" s="45" t="inlineStr">
        <s:is>
          <s:t>初始CAPEX总额</s:t>
        </s:is>
      </s:c>
      <s:c r="B25" s="45" t="inlineStr">
        <s:is>
          <s:t>元，越低越好</s:t>
        </s:is>
      </s:c>
      <s:c r="C25" s="173">
        <s:f>'04_Mode_Params'!C5</s:f>
        <s:v/>
      </s:c>
      <s:c r="D25" s="173">
        <s:f>'04_Mode_Params'!D5</s:f>
        <s:v/>
      </s:c>
      <s:c r="E25" s="173">
        <s:f>C25-D25</s:f>
        <s:v/>
      </s:c>
      <s:c r="F25" s="45" t="inlineStr">
        <s:is>
          <s:t>服务商/资方</s:t>
        </s:is>
      </s:c>
      <s:c r="G25" s="152">
        <s:f>IF(E25&gt;0,"LaaS初始投资更低",IF(E25&lt;0,"LaaS初始投资更高","相同"))</s:f>
        <s:v/>
      </s:c>
      <s:c r="H25" s="60" t="inlineStr">
        <s:is>
          <s:t>LaaS硬件与平台配置更高时，CAPEX劣势会拖累回收。</s:t>
        </s:is>
      </s:c>
      <s:c r="I25" s="45" t="n"/>
    </s:row>
    <s:row r="26">
      <s:c r="A26" s="45" t="inlineStr">
        <s:is>
          <s:t>10年累计净现金流</s:t>
        </s:is>
      </s:c>
      <s:c r="B26" s="45" t="inlineStr">
        <s:is>
          <s:t>元，越高越好</s:t>
        </s:is>
      </s:c>
      <s:c r="C26" s="173">
        <s:f>'05_Annual_Model'!M24</s:f>
        <s:v/>
      </s:c>
      <s:c r="D26" s="173">
        <s:f>'05_Annual_Model'!M51</s:f>
        <s:v/>
      </s:c>
      <s:c r="E26" s="173">
        <s:f>D26-C26</s:f>
        <s:v/>
      </s:c>
      <s:c r="F26" s="45" t="inlineStr">
        <s:is>
          <s:t>服务商/资方</s:t>
        </s:is>
      </s:c>
      <s:c r="G26" s="152">
        <s:f>IF(E26&gt;0,"LaaS累计现金流更好",IF(E26&lt;0,"能源托管累计现金流更好","相同"))</s:f>
        <s:v/>
      </s:c>
      <s:c r="H26" s="60" t="inlineStr">
        <s:is>
          <s:t>含Y0 CAPEX，是服务商是否回本的硬指标。</s:t>
        </s:is>
      </s:c>
      <s:c r="I26" s="45" t="n"/>
    </s:row>
    <s:row r="27">
      <s:c r="A27" s="45" t="inlineStr">
        <s:is>
          <s:t>NPV</s:t>
        </s:is>
      </s:c>
      <s:c r="B27" s="45" t="inlineStr">
        <s:is>
          <s:t>元，越高越好</s:t>
        </s:is>
      </s:c>
      <s:c r="C27" s="173">
        <s:f>'05_Annual_Model'!C25</s:f>
        <s:v/>
      </s:c>
      <s:c r="D27" s="173">
        <s:f>'05_Annual_Model'!C52</s:f>
        <s:v/>
      </s:c>
      <s:c r="E27" s="173">
        <s:f>D27-C27</s:f>
        <s:v/>
      </s:c>
      <s:c r="F27" s="45" t="inlineStr">
        <s:is>
          <s:t>服务商/资方</s:t>
        </s:is>
      </s:c>
      <s:c r="G27" s="152">
        <s:f>IF(E27&gt;0,"LaaS NPV更好",IF(E27&lt;0,"能源托管NPV更好","相同"))</s:f>
        <s:v/>
      </s:c>
      <s:c r="H27" s="60" t="inlineStr">
        <s:is>
          <s:t>折现后判断是否达到资金成本要求。</s:t>
        </s:is>
      </s:c>
      <s:c r="I27" s="45" t="n"/>
    </s:row>
    <s:row r="28">
      <s:c r="A28" s="45" t="inlineStr">
        <s:is>
          <s:t>IRR</s:t>
        </s:is>
      </s:c>
      <s:c r="B28" s="45" t="inlineStr">
        <s:is>
          <s:t>%，越高越好</s:t>
        </s:is>
      </s:c>
      <s:c r="C28" s="171">
        <s:f>'05_Annual_Model'!C26</s:f>
        <s:v/>
      </s:c>
      <s:c r="D28" s="171">
        <s:f>'05_Annual_Model'!C53</s:f>
        <s:v/>
      </s:c>
      <s:c r="E28" s="171">
        <s:f>D28-C28</s:f>
        <s:v/>
      </s:c>
      <s:c r="F28" s="45" t="inlineStr">
        <s:is>
          <s:t>服务商/资方</s:t>
        </s:is>
      </s:c>
      <s:c r="G28" s="152">
        <s:f>IF(E28&gt;0,"LaaS IRR更高",IF(E28&lt;0,"能源托管IRR更高","相同"))</s:f>
        <s:v/>
      </s:c>
      <s:c r="H28" s="60" t="inlineStr">
        <s:is>
          <s:t>与资金成本比较。</s:t>
        </s:is>
      </s:c>
      <s:c r="I28" s="45" t="n"/>
    </s:row>
    <s:row r="29">
      <s:c r="A29" s="45" t="inlineStr">
        <s:is>
          <s:t>NPV=0所需年费</s:t>
        </s:is>
      </s:c>
      <s:c r="B29" s="45" t="inlineStr">
        <s:is>
          <s:t>元/年，越低越好</s:t>
        </s:is>
      </s:c>
      <s:c r="C29" s="173">
        <s:f>'06_Sensitivity'!C5</s:f>
        <s:v/>
      </s:c>
      <s:c r="D29" s="173">
        <s:f>'06_Sensitivity'!C6</s:f>
        <s:v/>
      </s:c>
      <s:c r="E29" s="173">
        <s:f>C29-D29</s:f>
        <s:v/>
      </s:c>
      <s:c r="F29" s="45" t="inlineStr">
        <s:is>
          <s:t>服务商/业主谈判</s:t>
        </s:is>
      </s:c>
      <s:c r="G29" s="152">
        <s:f>IF(E29&gt;0,"LaaS所需年费更低",IF(E29&lt;0,"LaaS所需年费更高","相同"))</s:f>
        <s:v/>
      </s:c>
      <s:c r="H29" s="60" t="inlineStr">
        <s:is>
          <s:t>若LaaS所需年费更高，需要用增值收益、资产转让或降本补齐。</s:t>
        </s:is>
      </s:c>
      <s:c r="I29" s="45" t="n"/>
    </s:row>
    <s:row r="31">
      <s:c r="A31" s="42" t="inlineStr">
        <s:is>
          <s:t>结论框架</s:t>
        </s:is>
      </s:c>
      <s:c r="B31" s="1" t="n"/>
      <s:c r="C31" s="1" t="n"/>
      <s:c r="D31" s="1" t="n"/>
      <s:c r="E31" s="1" t="n"/>
      <s:c r="F31" s="1" t="n"/>
      <s:c r="G31" s="1" t="n"/>
      <s:c r="H31" s="1" t="n"/>
      <s:c r="I31" s="1" t="n"/>
    </s:row>
    <s:row r="32">
      <s:c r="A32" s="152" t="inlineStr">
        <s:is>
          <s:t>业主侧结论</s:t>
        </s:is>
      </s:c>
      <s:c r="B32" s="62" t="n"/>
      <s:c r="C32" s="174" t="n"/>
      <s:c r="D32" s="174" t="n"/>
      <s:c r="E32" s="174" t="n"/>
      <s:c r="F32" s="174" t="n"/>
      <s:c r="G32" s="174" t="n"/>
      <s:c r="H32" s="174" t="n"/>
      <s:c r="I32" s="175" t="n"/>
    </s:row>
    <s:row r="33">
      <s:c r="A33" s="152" t="str"/>
      <s:c r="B33" s="62" t="inlineStr">
        <s:is>
          <s:t>LaaS是否更适合业主，核心看“业主年度总支出是否更低、净节省是否更高”。默认假设下，LaaS因节电率更高，业主侧节省通常更明显。</s:t>
        </s:is>
      </s:c>
      <s:c r="C33" s="174" t="n"/>
      <s:c r="D33" s="174" t="n"/>
      <s:c r="E33" s="174" t="n"/>
      <s:c r="F33" s="174" t="n"/>
      <s:c r="G33" s="174" t="n"/>
      <s:c r="H33" s="174" t="n"/>
      <s:c r="I33" s="175" t="n"/>
    </s:row>
    <s:row r="34">
      <s:c r="A34" s="152" t="inlineStr">
        <s:is>
          <s:t>服务商侧结论</s:t>
        </s:is>
      </s:c>
      <s:c r="B34" s="62" t="n"/>
      <s:c r="C34" s="174" t="n"/>
      <s:c r="D34" s="174" t="n"/>
      <s:c r="E34" s="174" t="n"/>
      <s:c r="F34" s="174" t="n"/>
      <s:c r="G34" s="174" t="n"/>
      <s:c r="H34" s="174" t="n"/>
      <s:c r="I34" s="175" t="n"/>
    </s:row>
    <s:row r="35">
      <s:c r="A35" s="152" t="str"/>
      <s:c r="B35" s="62" t="inlineStr">
        <s:is>
          <s:t>LaaS的运维成本可能下降，但更高CAPEX、平台AI成本和升级储备会稀释收益。若年费同为100万元，必须检查NPV、IRR和10年累计现金流是否能覆盖投资。</s:t>
        </s:is>
      </s:c>
      <s:c r="C35" s="174" t="n"/>
      <s:c r="D35" s="174" t="n"/>
      <s:c r="E35" s="174" t="n"/>
      <s:c r="F35" s="174" t="n"/>
      <s:c r="G35" s="174" t="n"/>
      <s:c r="H35" s="174" t="n"/>
      <s:c r="I35" s="175" t="n"/>
    </s:row>
  </s:sheetData>
  <s:mergeCells count="9">
    <s:mergeCell ref="A2:I2"/>
    <s:mergeCell ref="B33:I33"/>
    <s:mergeCell ref="A13:I13"/>
    <s:mergeCell ref="B34:I34"/>
    <s:mergeCell ref="A1:I1"/>
    <s:mergeCell ref="A31:I31"/>
    <s:mergeCell ref="B32:I32"/>
    <s:mergeCell ref="A4:I4"/>
    <s:mergeCell ref="B35:I35"/>
  </s:mergeCells>
  <s:pageMargins left="0.7" right="0.7" top="0.75" bottom="0.75" header="0.3" footer="0.3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Z32"/>
  <s:sheetViews>
    <s:sheetView workbookViewId="0">
      <s:selection activeCell="A1" sqref="A1"/>
    </s:sheetView>
  </s:sheetViews>
  <s:sheetFormatPr baseColWidth="8" defaultRowHeight="15"/>
  <s:cols>
    <s:col width="8" customWidth="1" min="1" max="1"/>
    <s:col width="18" customWidth="1" min="2" max="2"/>
    <s:col width="18" customWidth="1" min="3" max="3"/>
    <s:col width="18" customWidth="1" min="4" max="4"/>
    <s:col width="18" customWidth="1" min="5" max="5"/>
    <s:col width="24" customWidth="1" min="6" max="6"/>
    <s:col width="50" customWidth="1" min="7" max="7"/>
    <s:col width="8" customWidth="1" min="8" max="8"/>
    <s:col width="8" customWidth="1" min="9" max="9"/>
    <s:col width="8" customWidth="1" min="10" max="10"/>
  </s:cols>
  <s:sheetData>
    <s:row r="1" ht="26" customHeight="1">
      <s:c r="A1" s="5" t="inlineStr">
        <s:is>
          <s:t>通用版财务模型｜能源托管 vs LaaS/AI订阅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先看 00_LaaS收益来源 判断Laas增量价值，再到本页看双方核心财务指标。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</s:row>
    <s:row r="4">
      <s:c r="A4" s="58" t="inlineStr">
        <s:is>
          <s:t>项目基准</s:t>
        </s:is>
      </s:c>
      <s:c r="B4" s="174" t="n"/>
      <s:c r="C4" s="174" t="n"/>
      <s:c r="D4" s="175" t="n"/>
    </s:row>
    <s:row r="5">
      <s:c r="A5" s="130" t="inlineStr">
        <s:is>
          <s:t>灯具数量</s:t>
        </s:is>
      </s:c>
      <s:c r="B5" s="130" t="inlineStr">
        <s:is>
          <s:t>盏</s:t>
        </s:is>
      </s:c>
      <s:c r="C5" s="168">
        <s:f>'03_Baseline'!D5</s:f>
        <s:v/>
      </s:c>
      <s:c r="D5" s="130" t="str"/>
    </s:row>
    <s:row r="6">
      <s:c r="A6" s="130" t="inlineStr">
        <s:is>
          <s:t>基准年电费</s:t>
        </s:is>
      </s:c>
      <s:c r="B6" s="130" t="inlineStr">
        <s:is>
          <s:t>元/年</s:t>
        </s:is>
      </s:c>
      <s:c r="C6" s="170">
        <s:f>'03_Baseline'!D12</s:f>
        <s:v/>
      </s:c>
      <s:c r="D6" s="130" t="str"/>
    </s:row>
    <s:row r="7">
      <s:c r="A7" s="130" t="inlineStr">
        <s:is>
          <s:t>基准年运维费</s:t>
        </s:is>
      </s:c>
      <s:c r="B7" s="130" t="inlineStr">
        <s:is>
          <s:t>元/年</s:t>
        </s:is>
      </s:c>
      <s:c r="C7" s="170">
        <s:f>'03_Baseline'!D14</s:f>
        <s:v/>
      </s:c>
      <s:c r="D7" s="130" t="str"/>
    </s:row>
    <s:row r="8">
      <s:c r="A8" s="130" t="inlineStr">
        <s:is>
          <s:t>基准年总成本</s:t>
        </s:is>
      </s:c>
      <s:c r="B8" s="130" t="inlineStr">
        <s:is>
          <s:t>元/年</s:t>
        </s:is>
      </s:c>
      <s:c r="C8" s="170">
        <s:f>'03_Baseline'!D15</s:f>
        <s:v/>
      </s:c>
      <s:c r="D8" s="130" t="str"/>
    </s:row>
    <s:row r="9">
      <s:c r="A9" s="130" t="inlineStr">
        <s:is>
          <s:t>业主10年预算总额</s:t>
        </s:is>
      </s:c>
      <s:c r="B9" s="130" t="inlineStr">
        <s:is>
          <s:t>元</s:t>
        </s:is>
      </s:c>
      <s:c r="C9" s="170">
        <s:f>'03_Baseline'!D17</s:f>
        <s:v/>
      </s:c>
      <s:c r="D9" s="130" t="str"/>
    </s:row>
    <s:row r="10">
      <s:c r="A10" s="130" t="inlineStr">
        <s:is>
          <s:t>10年不改造总成本</s:t>
        </s:is>
      </s:c>
      <s:c r="B10" s="130" t="inlineStr">
        <s:is>
          <s:t>元</s:t>
        </s:is>
      </s:c>
      <s:c r="C10" s="170">
        <s:f>'03_Baseline'!D18</s:f>
        <s:v/>
      </s:c>
      <s:c r="D10" s="130" t="str"/>
    </s:row>
    <s:row r="12">
      <s:c r="A12" s="42" t="inlineStr">
        <s:is>
          <s:t>两种模式核心结果</s:t>
        </s:is>
      </s:c>
      <s:c r="B12" s="1" t="n"/>
      <s:c r="C12" s="1" t="n"/>
      <s:c r="D12" s="1" t="n"/>
      <s:c r="E12" s="1" t="n"/>
      <s:c r="F12" s="1" t="n"/>
      <s:c r="G12" s="1" t="n"/>
      <s:c r="H12" s="1" t="n"/>
      <s:c r="I12" s="1" t="n"/>
      <s:c r="J12" s="1" t="n"/>
    </s:row>
    <s:row r="13">
      <s:c r="A13" s="44" t="inlineStr">
        <s:is>
          <s:t>指标</s:t>
        </s:is>
      </s:c>
      <s:c r="B13" s="44" t="inlineStr">
        <s:is>
          <s:t>单位</s:t>
        </s:is>
      </s:c>
      <s:c r="C13" s="44" t="inlineStr">
        <s:is>
          <s:t>能源托管/EMC</s:t>
        </s:is>
      </s:c>
      <s:c r="D13" s="44" t="inlineStr">
        <s:is>
          <s:t>LaaS/AI订阅</s:t>
        </s:is>
      </s:c>
      <s:c r="E13" s="44" t="inlineStr">
        <s:is>
          <s:t>LaaS相对差异</s:t>
        </s:is>
      </s:c>
      <s:c r="F13" s="44" t="inlineStr">
        <s:is>
          <s:t>判断</s:t>
        </s:is>
      </s:c>
      <s:c r="G13" s="44" t="inlineStr">
        <s:is>
          <s:t>说明</s:t>
        </s:is>
      </s:c>
      <s:c r="H13" s="12" t="str"/>
      <s:c r="I13" s="12" t="str"/>
      <s:c r="J13" s="12" t="str"/>
    </s:row>
    <s:row r="14">
      <s:c r="A14" s="45" t="inlineStr">
        <s:is>
          <s:t>初始CAPEX总额</s:t>
        </s:is>
      </s:c>
      <s:c r="B14" s="45" t="inlineStr">
        <s:is>
          <s:t>元</s:t>
        </s:is>
      </s:c>
      <s:c r="C14" s="173">
        <s:f>'04_Mode_Params'!C5</s:f>
        <s:v/>
      </s:c>
      <s:c r="D14" s="173">
        <s:f>'04_Mode_Params'!D5</s:f>
        <s:v/>
      </s:c>
      <s:c r="E14" s="173">
        <s:f>C14-D14</s:f>
        <s:v/>
      </s:c>
      <s:c r="F14" s="45">
        <s:f>IF(E14&gt;0,"LaaS更优/成本更低",IF(E14&lt;0,"能源托管更优/成本更低","相同"))</s:f>
        <s:v/>
      </s:c>
      <s:c r="G14" s="45" t="inlineStr">
        <s:is>
          <s:t>服务商Y0投入，越低越容易回本</s:t>
        </s:is>
      </s:c>
    </s:row>
    <s:row r="15">
      <s:c r="A15" s="45" t="inlineStr">
        <s:is>
          <s:t>服务商年度收入合计</s:t>
        </s:is>
      </s:c>
      <s:c r="B15" s="45" t="inlineStr">
        <s:is>
          <s:t>元/年</s:t>
        </s:is>
      </s:c>
      <s:c r="C15" s="173">
        <s:f>'04_Mode_Params'!C16</s:f>
        <s:v/>
      </s:c>
      <s:c r="D15" s="173">
        <s:f>'04_Mode_Params'!D16</s:f>
        <s:v/>
      </s:c>
      <s:c r="E15" s="173">
        <s:f>D15-C15</s:f>
        <s:v/>
      </s:c>
      <s:c r="F15" s="45">
        <s:f>IF(E15&gt;0,"LaaS更高",IF(E15&lt;0,"能源托管更高","相同"))</s:f>
        <s:v/>
      </s:c>
      <s:c r="G15" s="45" t="inlineStr">
        <s:is>
          <s:t>服务费/订阅费+其他第三方收入</s:t>
        </s:is>
      </s:c>
    </s:row>
    <s:row r="16">
      <s:c r="A16" s="45" t="inlineStr">
        <s:is>
          <s:t>服务商年度现金成本合计</s:t>
        </s:is>
      </s:c>
      <s:c r="B16" s="45" t="inlineStr">
        <s:is>
          <s:t>元/年</s:t>
        </s:is>
      </s:c>
      <s:c r="C16" s="173">
        <s:f>'04_Mode_Params'!C17</s:f>
        <s:v/>
      </s:c>
      <s:c r="D16" s="173">
        <s:f>'04_Mode_Params'!D17</s:f>
        <s:v/>
      </s:c>
      <s:c r="E16" s="173">
        <s:f>C16-D16</s:f>
        <s:v/>
      </s:c>
      <s:c r="F16" s="45">
        <s:f>IF(E16&gt;0,"LaaS更优/成本更低",IF(E16&lt;0,"能源托管更优/成本更低","相同"))</s:f>
        <s:v/>
      </s:c>
      <s:c r="G16" s="45" t="inlineStr">
        <s:is>
          <s:t>电费成本+运维+平台+备件，不含CAPEX</s:t>
        </s:is>
      </s:c>
    </s:row>
    <s:row r="17">
      <s:c r="A17" s="45" t="inlineStr">
        <s:is>
          <s:t>服务商年度净经营现金流</s:t>
        </s:is>
      </s:c>
      <s:c r="B17" s="45" t="inlineStr">
        <s:is>
          <s:t>元/年</s:t>
        </s:is>
      </s:c>
      <s:c r="C17" s="173">
        <s:f>'04_Mode_Params'!C18</s:f>
        <s:v/>
      </s:c>
      <s:c r="D17" s="173">
        <s:f>'04_Mode_Params'!D18</s:f>
        <s:v/>
      </s:c>
      <s:c r="E17" s="173">
        <s:f>D17-C17</s:f>
        <s:v/>
      </s:c>
      <s:c r="F17" s="45">
        <s:f>IF(E17&gt;0,"LaaS更高",IF(E17&lt;0,"能源托管更高","相同"))</s:f>
        <s:v/>
      </s:c>
      <s:c r="G17" s="45" t="inlineStr">
        <s:is>
          <s:t>年度收入−年度现金成本，不含Y0 CAPEX</s:t>
        </s:is>
      </s:c>
    </s:row>
    <s:row r="18">
      <s:c r="A18" s="45" t="inlineStr">
        <s:is>
          <s:t>10年累计净现金流</s:t>
        </s:is>
      </s:c>
      <s:c r="B18" s="45" t="inlineStr">
        <s:is>
          <s:t>元</s:t>
        </s:is>
      </s:c>
      <s:c r="C18" s="173">
        <s:f>'05_Annual_Model'!M24</s:f>
        <s:v>6711160.0</s:v>
      </s:c>
      <s:c r="D18" s="173">
        <s:f>'05_Annual_Model'!M51</s:f>
        <s:v>16960600.000000022</s:v>
      </s:c>
      <s:c r="E18" s="173">
        <s:f>D18-C18</s:f>
        <s:v/>
      </s:c>
      <s:c r="F18" s="45">
        <s:f>IF(E18&gt;0,"LaaS更高",IF(E18&lt;0,"能源托管更高","相同"))</s:f>
        <s:v/>
      </s:c>
      <s:c r="G18" s="45" t="inlineStr">
        <s:is>
          <s:t>含Y0 CAPEX</s:t>
        </s:is>
      </s:c>
    </s:row>
    <s:row r="19">
      <s:c r="A19" s="45" t="inlineStr">
        <s:is>
          <s:t>NPV</s:t>
        </s:is>
      </s:c>
      <s:c r="B19" s="45" t="inlineStr">
        <s:is>
          <s:t>元</s:t>
        </s:is>
      </s:c>
      <s:c r="C19" s="173">
        <s:f>'05_Annual_Model'!C25</s:f>
        <s:v>2947410.4186040126</s:v>
      </s:c>
      <s:c r="D19" s="173">
        <s:f>'05_Annual_Model'!C52</s:f>
        <s:v>8667587.008881645</s:v>
      </s:c>
      <s:c r="E19" s="173">
        <s:f>D19-C19</s:f>
        <s:v/>
      </s:c>
      <s:c r="F19" s="45">
        <s:f>IF(E19&gt;0,"LaaS更高",IF(E19&lt;0,"能源托管更高","相同"))</s:f>
        <s:v/>
      </s:c>
      <s:c r="G19" s="45" t="inlineStr">
        <s:is>
          <s:t>折现率来自Inputs</s:t>
        </s:is>
      </s:c>
    </s:row>
    <s:row r="20">
      <s:c r="A20" s="45" t="inlineStr">
        <s:is>
          <s:t>IRR</s:t>
        </s:is>
      </s:c>
      <s:c r="B20" s="45" t="inlineStr">
        <s:is>
          <s:t>%</s:t>
        </s:is>
      </s:c>
      <s:c r="C20" s="176">
        <s:f>'05_Annual_Model'!C26</s:f>
        <s:v>0.2611609229291165</s:v>
      </s:c>
      <s:c r="D20" s="176">
        <s:f>'05_Annual_Model'!C53</s:f>
        <s:v>0.7571287301213394</s:v>
      </s:c>
      <s:c r="E20" s="173">
        <s:f>D20-C20</s:f>
        <s:v/>
      </s:c>
      <s:c r="F20" s="45">
        <s:f>IF(E20&gt;0,"LaaS更高",IF(E20&lt;0,"能源托管更高","相同"))</s:f>
        <s:v/>
      </s:c>
      <s:c r="G20" s="45" t="inlineStr">
        <s:is>
          <s:t>服务商项目内部收益率</s:t>
        </s:is>
      </s:c>
    </s:row>
    <s:row r="21">
      <s:c r="A21" s="45" t="inlineStr">
        <s:is>
          <s:t>10年ROI</s:t>
        </s:is>
      </s:c>
      <s:c r="B21" s="45" t="inlineStr">
        <s:is>
          <s:t>%</s:t>
        </s:is>
      </s:c>
      <s:c r="C21" s="171">
        <s:f>'05_Annual_Model'!C27</s:f>
        <s:v>2.8961292874498503</s:v>
      </s:c>
      <s:c r="D21" s="171">
        <s:f>'05_Annual_Model'!C54</s:f>
        <s:v>5.791942137085382</s:v>
      </s:c>
      <s:c r="E21" s="171">
        <s:f>D21-C21</s:f>
        <s:v/>
      </s:c>
      <s:c r="F21" s="45">
        <s:f>IF(E21&gt;0,"LaaS更高",IF(E21&lt;0,"能源托管更高","相同"))</s:f>
        <s:v/>
      </s:c>
      <s:c r="G21" s="45" t="inlineStr">
        <s:is>
          <s:t>10年累计净现金流÷初始CAPEX</s:t>
        </s:is>
      </s:c>
    </s:row>
    <s:row r="22">
      <s:c r="A22" s="45" t="inlineStr">
        <s:is>
          <s:t>静态回收期</s:t>
        </s:is>
      </s:c>
      <s:c r="B22" s="45" t="inlineStr">
        <s:is>
          <s:t>年</s:t>
        </s:is>
      </s:c>
      <s:c r="C22" s="177">
        <s:f>'05_Annual_Model'!C28</s:f>
        <s:v/>
      </s:c>
      <s:c r="D22" s="177">
        <s:f>'05_Annual_Model'!C55</s:f>
        <s:v/>
      </s:c>
      <s:c r="E22" s="177">
        <s:f>IF(OR(C22="未回收",D22="未回收"),"看回收状态",C22-D22)</s:f>
        <s:v/>
      </s:c>
      <s:c r="F22" s="45">
        <s:f>IF(D22=C22,"相同",IF(D22="未回收","能源托管回收更好",IF(C22="未回收","LaaS回收更好",IF(D22&lt;C22,"LaaS回收更快","能源托管回收更快"))))</s:f>
        <s:v/>
      </s:c>
      <s:c r="G22" s="45" t="inlineStr">
        <s:is>
          <s:t>累计现金流首次转正年份</s:t>
        </s:is>
      </s:c>
    </s:row>
    <s:row r="23">
      <s:c r="A23" s="45" t="inlineStr">
        <s:is>
          <s:t>业主年度总支出</s:t>
        </s:is>
      </s:c>
      <s:c r="B23" s="45" t="inlineStr">
        <s:is>
          <s:t>元/年</s:t>
        </s:is>
      </s:c>
      <s:c r="C23" s="173">
        <s:f>'04_Mode_Params'!C19</s:f>
        <s:v/>
      </s:c>
      <s:c r="D23" s="173">
        <s:f>'04_Mode_Params'!D19</s:f>
        <s:v/>
      </s:c>
      <s:c r="E23" s="173">
        <s:f>C23-D23</s:f>
        <s:v/>
      </s:c>
      <s:c r="F23" s="45">
        <s:f>IF(E23&gt;0,"LaaS更优/成本更低",IF(E23&lt;0,"能源托管更优/成本更低","相同"))</s:f>
        <s:v/>
      </s:c>
      <s:c r="G23" s="45" t="inlineStr">
        <s:is>
          <s:t>业主支付电费+服务费+保留管理成本</s:t>
        </s:is>
      </s:c>
    </s:row>
    <s:row r="24">
      <s:c r="A24" s="45" t="inlineStr">
        <s:is>
          <s:t>业主年度净节省</s:t>
        </s:is>
      </s:c>
      <s:c r="B24" s="45" t="inlineStr">
        <s:is>
          <s:t>元/年</s:t>
        </s:is>
      </s:c>
      <s:c r="C24" s="173">
        <s:f>'04_Mode_Params'!C20</s:f>
        <s:v/>
      </s:c>
      <s:c r="D24" s="173">
        <s:f>'04_Mode_Params'!D20</s:f>
        <s:v/>
      </s:c>
      <s:c r="E24" s="173">
        <s:f>D24-C24</s:f>
        <s:v/>
      </s:c>
      <s:c r="F24" s="45">
        <s:f>IF(E24&gt;0,"LaaS更高",IF(E24&lt;0,"能源托管更高","相同"))</s:f>
        <s:v/>
      </s:c>
      <s:c r="G24" s="45" t="inlineStr">
        <s:is>
          <s:t>相对不改造情形</s:t>
        </s:is>
      </s:c>
    </s:row>
    <s:row r="25">
      <s:c r="A25" s="45" t="inlineStr">
        <s:is>
          <s:t>业主节省率</s:t>
        </s:is>
      </s:c>
      <s:c r="B25" s="45" t="inlineStr">
        <s:is>
          <s:t>%</s:t>
        </s:is>
      </s:c>
      <s:c r="C25" s="171">
        <s:f>'04_Mode_Params'!C21</s:f>
        <s:v/>
      </s:c>
      <s:c r="D25" s="171">
        <s:f>'04_Mode_Params'!D21</s:f>
        <s:v/>
      </s:c>
      <s:c r="E25" s="171">
        <s:f>D25-C25</s:f>
        <s:v/>
      </s:c>
      <s:c r="F25" s="45">
        <s:f>IF(E25&gt;0,"LaaS更高",IF(E25&lt;0,"能源托管更高","相同"))</s:f>
        <s:v/>
      </s:c>
      <s:c r="G25" s="45" t="inlineStr">
        <s:is>
          <s:t>业主净节省÷基准年总成本</s:t>
        </s:is>
      </s:c>
    </s:row>
    <s:row r="26">
      <s:c r="A26" s="45" t="inlineStr">
        <s:is>
          <s:t>NPV=0所需年费</s:t>
        </s:is>
      </s:c>
      <s:c r="B26" s="45" t="inlineStr">
        <s:is>
          <s:t>元/年</s:t>
        </s:is>
      </s:c>
      <s:c r="C26" s="173">
        <s:f>'06_Sensitivity'!C5</s:f>
        <s:v/>
      </s:c>
      <s:c r="D26" s="173">
        <s:f>'06_Sensitivity'!C6</s:f>
        <s:v/>
      </s:c>
      <s:c r="E26" s="173">
        <s:f>C26-D26</s:f>
        <s:v/>
      </s:c>
      <s:c r="F26" s="45">
        <s:f>IF(E26&gt;0,"LaaS更优/成本更低",IF(E26&lt;0,"能源托管更优/成本更低","相同"))</s:f>
        <s:v/>
      </s:c>
      <s:c r="G26" s="45" t="inlineStr">
        <s:is>
          <s:t>服务商达到折现率要求的参考底价</s:t>
        </s:is>
      </s:c>
    </s:row>
    <s:row r="28">
      <s:c r="A28" s="42" t="inlineStr">
        <s:is>
          <s:t>读法提示</s:t>
        </s:is>
      </s:c>
      <s:c r="B28" s="1" t="n"/>
      <s:c r="C28" s="1" t="n"/>
      <s:c r="D28" s="1" t="n"/>
      <s:c r="E28" s="1" t="n"/>
      <s:c r="F28" s="1" t="n"/>
      <s:c r="G28" s="1" t="n"/>
      <s:c r="H28" s="1" t="n"/>
      <s:c r="I28" s="1" t="n"/>
      <s:c r="J28" s="1" t="n"/>
    </s:row>
    <s:row r="29">
      <s:c r="A29" s="45" t="inlineStr">
        <s:is>
          <s:t>1</s:t>
        </s:is>
      </s:c>
      <s:c r="B29" s="152" t="inlineStr">
        <s:is>
          <s:t>业主侧先看“业主年度总支出”是否低于基准年总成本。服务费不是业主收入，而是业主支出。</s:t>
        </s:is>
      </s:c>
      <s:c r="C29" s="62" t="str"/>
      <s:c r="D29" s="174" t="n"/>
      <s:c r="E29" s="174" t="n"/>
      <s:c r="F29" s="174" t="n"/>
      <s:c r="G29" s="174" t="n"/>
      <s:c r="H29" s="174" t="n"/>
      <s:c r="I29" s="174" t="n"/>
      <s:c r="J29" s="175" t="n"/>
    </s:row>
    <s:row r="30">
      <s:c r="A30" s="45" t="inlineStr">
        <s:is>
          <s:t>2</s:t>
        </s:is>
      </s:c>
      <s:c r="B30" s="152" t="inlineStr">
        <s:is>
          <s:t>服务商侧先看“年度净经营现金流”是否能覆盖Y0 CAPEX；如果10年累计现金流仍为负，则年费/成本/CAPEX结构需要重做。</s:t>
        </s:is>
      </s:c>
      <s:c r="C30" s="62" t="str"/>
      <s:c r="D30" s="174" t="n"/>
      <s:c r="E30" s="174" t="n"/>
      <s:c r="F30" s="174" t="n"/>
      <s:c r="G30" s="174" t="n"/>
      <s:c r="H30" s="174" t="n"/>
      <s:c r="I30" s="174" t="n"/>
      <s:c r="J30" s="175" t="n"/>
    </s:row>
    <s:row r="31">
      <s:c r="A31" s="45" t="inlineStr">
        <s:is>
          <s:t>3</s:t>
        </s:is>
      </s:c>
      <s:c r="B31" s="152" t="inlineStr">
        <s:is>
          <s:t>Laas的优势不应只看节电率，还要看运维成本下降、持续升级能力、增值收入和客户黏性；但这些优势必须覆盖更高CAPEX和平台成本。</s:t>
        </s:is>
      </s:c>
      <s:c r="C31" s="62" t="str"/>
      <s:c r="D31" s="174" t="n"/>
      <s:c r="E31" s="174" t="n"/>
      <s:c r="F31" s="174" t="n"/>
      <s:c r="G31" s="174" t="n"/>
      <s:c r="H31" s="174" t="n"/>
      <s:c r="I31" s="174" t="n"/>
      <s:c r="J31" s="175" t="n"/>
    </s:row>
    <s:row r="32">
      <s:c r="A32" s="45" t="inlineStr">
        <s:is>
          <s:t>4</s:t>
        </s:is>
      </s:c>
      <s:c r="B32" s="152" t="inlineStr">
        <s:is>
          <s:t>本版已避免“成本用负数列示再相加”带来的误读，所有成本均为正数并在公式中扣减。</s:t>
        </s:is>
      </s:c>
      <s:c r="C32" s="62" t="str"/>
      <s:c r="D32" s="174" t="n"/>
      <s:c r="E32" s="174" t="n"/>
      <s:c r="F32" s="174" t="n"/>
      <s:c r="G32" s="174" t="n"/>
      <s:c r="H32" s="174" t="n"/>
      <s:c r="I32" s="174" t="n"/>
      <s:c r="J32" s="175" t="n"/>
    </s:row>
  </s:sheetData>
  <s:mergeCells count="9">
    <s:mergeCell ref="A1:J1"/>
    <s:mergeCell ref="C29:J29"/>
    <s:mergeCell ref="C30:J30"/>
    <s:mergeCell ref="A4:D4"/>
    <s:mergeCell ref="C32:J32"/>
    <s:mergeCell ref="A12:J12"/>
    <s:mergeCell ref="A2:J2"/>
    <s:mergeCell ref="C31:J31"/>
    <s:mergeCell ref="A28:J28"/>
  </s:mergeCells>
  <s:pageMargins left="0.7" right="0.7" top="0.75" bottom="0.75" header="0.3" footer="0.3"/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6" customWidth="1" min="4" max="4"/>
    <col width="28" customWidth="1" min="5" max="5"/>
    <col width="10" customWidth="1" min="6" max="6"/>
    <col width="50" customWidth="1" min="7" max="7"/>
    <col width="14" customWidth="1" min="8" max="8"/>
  </cols>
  <sheetData>
    <row r="1" ht="26" customHeight="1">
      <c r="A1" s="5" t="inlineStr">
        <is>
          <t>通用输入假设｜能源托管 vs LaaS/AI订阅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蓝色数字为可修改输入。所有成本均按“正数成本/支出”录入，净现金流采用显性减法，避免把成本当收入相加。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模块</t>
        </is>
      </c>
      <c r="B4" s="44" t="inlineStr">
        <is>
          <t>参数</t>
        </is>
      </c>
      <c r="C4" s="44" t="inlineStr">
        <is>
          <t>单位</t>
        </is>
      </c>
      <c r="D4" s="44" t="inlineStr">
        <is>
          <t>输入值</t>
        </is>
      </c>
      <c r="E4" s="44" t="inlineStr">
        <is>
          <t>来源/依据</t>
        </is>
      </c>
      <c r="F4" s="44" t="inlineStr">
        <is>
          <t>是否常改</t>
        </is>
      </c>
      <c r="G4" s="44" t="inlineStr">
        <is>
          <t>备注</t>
        </is>
      </c>
      <c r="H4" s="44" t="inlineStr">
        <is>
          <t>校验</t>
        </is>
      </c>
    </row>
    <row r="5">
      <c r="A5" s="45" t="inlineStr">
        <is>
          <t>基础参数</t>
        </is>
      </c>
      <c r="B5" s="45" t="inlineStr">
        <is>
          <t>模型期</t>
        </is>
      </c>
      <c r="C5" s="45" t="inlineStr">
        <is>
          <t>年</t>
        </is>
      </c>
      <c r="D5" s="178" t="n">
        <v>10</v>
      </c>
      <c r="E5" s="45" t="inlineStr">
        <is>
          <t>用户示例/通用模型</t>
        </is>
      </c>
      <c r="F5" s="45" t="inlineStr">
        <is>
          <t>是</t>
        </is>
      </c>
      <c r="G5" s="60" t="inlineStr">
        <is>
          <t>模板当前展开Y0-Y10；如需15年可继续扩展年度列。</t>
        </is>
      </c>
      <c r="H5" s="60" t="inlineStr">
        <is>
          <t>&gt;0</t>
        </is>
      </c>
    </row>
    <row r="6">
      <c r="A6" s="45" t="inlineStr">
        <is>
          <t>基础参数</t>
        </is>
      </c>
      <c r="B6" s="45" t="inlineStr">
        <is>
          <t>灯具数量</t>
        </is>
      </c>
      <c r="C6" s="45" t="inlineStr">
        <is>
          <t>盏</t>
        </is>
      </c>
      <c r="D6" s="178" t="n">
        <v>5000</v>
      </c>
      <c r="E6" s="45" t="inlineStr">
        <is>
          <t>用户示例假设</t>
        </is>
      </c>
      <c r="F6" s="45" t="inlineStr">
        <is>
          <t>是</t>
        </is>
      </c>
      <c r="G6" s="60" t="inlineStr">
        <is>
          <t>用于计算总能耗、总运维费、总CAPEX。</t>
        </is>
      </c>
      <c r="H6" s="60" t="inlineStr">
        <is>
          <t>&gt;0</t>
        </is>
      </c>
    </row>
    <row r="7">
      <c r="A7" s="45" t="inlineStr">
        <is>
          <t>基础参数</t>
        </is>
      </c>
      <c r="B7" s="45" t="inlineStr">
        <is>
          <t>业主年度服务费预算/付费上限</t>
        </is>
      </c>
      <c r="C7" s="45" t="inlineStr">
        <is>
          <t>元/年</t>
        </is>
      </c>
      <c r="D7" s="179" t="n">
        <v>2342300</v>
      </c>
      <c r="E7" s="45" t="inlineStr">
        <is>
          <t>用户示例假设</t>
        </is>
      </c>
      <c r="F7" s="45" t="inlineStr">
        <is>
          <t>是</t>
        </is>
      </c>
      <c r="G7" s="60" t="inlineStr">
        <is>
          <t>这里是业主每年可支付给服务商的固定预算，不是业主一次性CAPEX。</t>
        </is>
      </c>
      <c r="H7" s="60" t="inlineStr">
        <is>
          <t>&gt;=0</t>
        </is>
      </c>
    </row>
    <row r="8">
      <c r="A8" s="45" t="inlineStr">
        <is>
          <t>基础参数</t>
        </is>
      </c>
      <c r="B8" s="45" t="inlineStr">
        <is>
          <t>电价</t>
        </is>
      </c>
      <c r="C8" s="45" t="inlineStr">
        <is>
          <t>元/kWh</t>
        </is>
      </c>
      <c r="D8" s="179" t="n">
        <v>0.5</v>
      </c>
      <c r="E8" s="45" t="inlineStr">
        <is>
          <t>用户示例假设</t>
        </is>
      </c>
      <c r="F8" s="45" t="inlineStr">
        <is>
          <t>是</t>
        </is>
      </c>
      <c r="G8" s="60" t="inlineStr">
        <is>
          <t>如存在峰谷电价，可替换为加权平均电价。</t>
        </is>
      </c>
      <c r="H8" s="60" t="inlineStr">
        <is>
          <t>&gt;=0</t>
        </is>
      </c>
    </row>
    <row r="9">
      <c r="A9" s="45" t="inlineStr">
        <is>
          <t>基础参数</t>
        </is>
      </c>
      <c r="B9" s="45" t="inlineStr">
        <is>
          <t>现状单灯功率</t>
        </is>
      </c>
      <c r="C9" s="45" t="inlineStr">
        <is>
          <t>W/盏</t>
        </is>
      </c>
      <c r="D9" s="180" t="n">
        <v>204.8318804483188</v>
      </c>
      <c r="E9" s="45" t="inlineStr">
        <is>
          <t>模型默认假设，需现场替换</t>
        </is>
      </c>
      <c r="F9" s="45" t="inlineStr">
        <is>
          <t>是</t>
        </is>
      </c>
      <c r="G9" s="60" t="inlineStr">
        <is>
          <t>用于估算现状年用电量。</t>
        </is>
      </c>
      <c r="H9" s="60" t="inlineStr">
        <is>
          <t>&gt;0</t>
        </is>
      </c>
    </row>
    <row r="10">
      <c r="A10" s="45" t="inlineStr">
        <is>
          <t>基础参数</t>
        </is>
      </c>
      <c r="B10" s="45" t="inlineStr">
        <is>
          <t>每日亮灯小时</t>
        </is>
      </c>
      <c r="C10" s="45" t="inlineStr">
        <is>
          <t>小时/天</t>
        </is>
      </c>
      <c r="D10" s="178" t="n">
        <v>11</v>
      </c>
      <c r="E10" s="45" t="inlineStr">
        <is>
          <t>模型默认假设，需现场替换</t>
        </is>
      </c>
      <c r="F10" s="45" t="inlineStr">
        <is>
          <t>是</t>
        </is>
      </c>
      <c r="G10" s="60" t="inlineStr">
        <is>
          <t>路灯常按10-12小时估算，具体按当地控制策略替换。</t>
        </is>
      </c>
      <c r="H10" s="60" t="inlineStr">
        <is>
          <t>0-24</t>
        </is>
      </c>
    </row>
    <row r="11">
      <c r="A11" s="45" t="inlineStr">
        <is>
          <t>基础参数</t>
        </is>
      </c>
      <c r="B11" s="45" t="inlineStr">
        <is>
          <t>年运行天数</t>
        </is>
      </c>
      <c r="C11" s="45" t="inlineStr">
        <is>
          <t>天/年</t>
        </is>
      </c>
      <c r="D11" s="178" t="n">
        <v>365</v>
      </c>
      <c r="E11" s="45" t="inlineStr">
        <is>
          <t>模型默认假设</t>
        </is>
      </c>
      <c r="F11" s="45" t="inlineStr">
        <is>
          <t>是</t>
        </is>
      </c>
      <c r="G11" s="60" t="inlineStr">
        <is>
          <t>通常取365。</t>
        </is>
      </c>
      <c r="H11" s="60" t="inlineStr">
        <is>
          <t>&gt;0</t>
        </is>
      </c>
    </row>
    <row r="12">
      <c r="A12" s="45" t="inlineStr">
        <is>
          <t>基础参数</t>
        </is>
      </c>
      <c r="B12" s="45" t="inlineStr">
        <is>
          <t>现状运维单价</t>
        </is>
      </c>
      <c r="C12" s="45" t="inlineStr">
        <is>
          <t>元/盏/年</t>
        </is>
      </c>
      <c r="D12" s="178" t="n">
        <v>122</v>
      </c>
      <c r="E12" s="45" t="inlineStr">
        <is>
          <t>用户示例假设</t>
        </is>
      </c>
      <c r="F12" s="45" t="inlineStr">
        <is>
          <t>是</t>
        </is>
      </c>
      <c r="G12" s="60" t="inlineStr">
        <is>
          <t>业主现状运维支出。</t>
        </is>
      </c>
      <c r="H12" s="60" t="inlineStr">
        <is>
          <t>&gt;=0</t>
        </is>
      </c>
    </row>
    <row r="13">
      <c r="A13" s="45" t="inlineStr">
        <is>
          <t>基础参数</t>
        </is>
      </c>
      <c r="B13" s="45" t="inlineStr">
        <is>
          <t>折现率</t>
        </is>
      </c>
      <c r="C13" s="45" t="inlineStr">
        <is>
          <t>%</t>
        </is>
      </c>
      <c r="D13" s="181" t="n">
        <v>0.12</v>
      </c>
      <c r="E13" s="45" t="inlineStr">
        <is>
          <t>模型默认假设</t>
        </is>
      </c>
      <c r="F13" s="45" t="inlineStr">
        <is>
          <t>是</t>
        </is>
      </c>
      <c r="G13" s="60" t="inlineStr">
        <is>
          <t>用于服务商NPV，可按资金成本/项目风险调整。</t>
        </is>
      </c>
      <c r="H13" s="60" t="inlineStr">
        <is>
          <t>&gt;=0</t>
        </is>
      </c>
    </row>
    <row r="14">
      <c r="A14" s="45" t="inlineStr">
        <is>
          <t>基础参数</t>
        </is>
      </c>
      <c r="B14" s="45" t="inlineStr">
        <is>
          <t>电价年增长率</t>
        </is>
      </c>
      <c r="C14" s="45" t="inlineStr">
        <is>
          <t>%</t>
        </is>
      </c>
      <c r="D14" s="181" t="n">
        <v>0</v>
      </c>
      <c r="E14" s="45" t="inlineStr">
        <is>
          <t>模型默认假设</t>
        </is>
      </c>
      <c r="F14" s="45" t="inlineStr">
        <is>
          <t>可选</t>
        </is>
      </c>
      <c r="G14" s="60" t="inlineStr">
        <is>
          <t>若不确定，可先设为0。</t>
        </is>
      </c>
      <c r="H14" s="60" t="inlineStr">
        <is>
          <t>&gt;=0</t>
        </is>
      </c>
    </row>
    <row r="15">
      <c r="A15" s="45" t="inlineStr">
        <is>
          <t>基础参数</t>
        </is>
      </c>
      <c r="B15" s="45" t="inlineStr">
        <is>
          <t>服务商成本年增长率</t>
        </is>
      </c>
      <c r="C15" s="45" t="inlineStr">
        <is>
          <t>%</t>
        </is>
      </c>
      <c r="D15" s="181" t="n">
        <v>0</v>
      </c>
      <c r="E15" s="45" t="inlineStr">
        <is>
          <t>模型默认假设</t>
        </is>
      </c>
      <c r="F15" s="45" t="inlineStr">
        <is>
          <t>可选</t>
        </is>
      </c>
      <c r="G15" s="60" t="inlineStr">
        <is>
          <t>用于运维、平台、备件等成本年度增长。</t>
        </is>
      </c>
      <c r="H15" s="60" t="inlineStr">
        <is>
          <t>&gt;=0</t>
        </is>
      </c>
    </row>
    <row r="16">
      <c r="A16" s="45" t="inlineStr">
        <is>
          <t>基础参数</t>
        </is>
      </c>
      <c r="B16" s="45" t="inlineStr">
        <is>
          <t>服务费年增长率</t>
        </is>
      </c>
      <c r="C16" s="45" t="inlineStr">
        <is>
          <t>%</t>
        </is>
      </c>
      <c r="D16" s="181" t="n">
        <v>0</v>
      </c>
      <c r="E16" s="45" t="inlineStr">
        <is>
          <t>模型默认假设</t>
        </is>
      </c>
      <c r="F16" s="45" t="inlineStr">
        <is>
          <t>可选</t>
        </is>
      </c>
      <c r="G16" s="60" t="inlineStr">
        <is>
          <t>若合同约定服务费递增，可在此填写。</t>
        </is>
      </c>
      <c r="H16" s="60" t="inlineStr">
        <is>
          <t>&gt;=0</t>
        </is>
      </c>
    </row>
    <row r="17">
      <c r="A17" s="45" t="inlineStr">
        <is>
          <t>基础参数</t>
        </is>
      </c>
      <c r="B17" s="45" t="inlineStr">
        <is>
          <t>业主保留管理成本</t>
        </is>
      </c>
      <c r="C17" s="45" t="inlineStr">
        <is>
          <t>元/年</t>
        </is>
      </c>
      <c r="D17" s="179" t="n">
        <v>0</v>
      </c>
      <c r="E17" s="45" t="inlineStr">
        <is>
          <t>模型默认假设</t>
        </is>
      </c>
      <c r="F17" s="45" t="inlineStr">
        <is>
          <t>可选</t>
        </is>
      </c>
      <c r="G17" s="60" t="inlineStr">
        <is>
          <t>如业主仍保留少量监督、接口、验收等管理成本。</t>
        </is>
      </c>
      <c r="H17" s="60" t="inlineStr">
        <is>
          <t>&gt;=0</t>
        </is>
      </c>
    </row>
    <row r="18">
      <c r="A18" s="50" t="inlineStr">
        <is>
          <t>能源托管/EMC</t>
        </is>
      </c>
      <c r="B18" s="50" t="inlineStr">
        <is>
          <t>初始CAPEX单价</t>
        </is>
      </c>
      <c r="C18" s="50" t="inlineStr">
        <is>
          <t>元/盏</t>
        </is>
      </c>
      <c r="D18" s="182" t="n">
        <v>707.88</v>
      </c>
      <c r="E18" s="50" t="inlineStr">
        <is>
          <t>模型默认假设，需报价替换</t>
        </is>
      </c>
      <c r="F18" s="50" t="inlineStr">
        <is>
          <t>是</t>
        </is>
      </c>
      <c r="G18" s="61" t="inlineStr">
        <is>
          <t>含灯具、施工、基础控制等；现金流Y0扣减。</t>
        </is>
      </c>
      <c r="H18" s="61" t="inlineStr">
        <is>
          <t>&gt;=0</t>
        </is>
      </c>
    </row>
    <row r="19">
      <c r="A19" s="45" t="inlineStr">
        <is>
          <t>能源托管/EMC</t>
        </is>
      </c>
      <c r="B19" s="45" t="inlineStr">
        <is>
          <t>固定服务费收入</t>
        </is>
      </c>
      <c r="C19" s="45" t="inlineStr">
        <is>
          <t>元/年</t>
        </is>
      </c>
      <c r="D19" s="179" t="n">
        <v>1635056</v>
      </c>
      <c r="E19" s="45" t="inlineStr">
        <is>
          <t>默认等于业主年度预算</t>
        </is>
      </c>
      <c r="F19" s="45" t="inlineStr">
        <is>
          <t>是</t>
        </is>
      </c>
      <c r="G19" s="60" t="inlineStr">
        <is>
          <t>服务商每年从业主获得的固定服务费。</t>
        </is>
      </c>
      <c r="H19" s="60" t="inlineStr">
        <is>
          <t>&gt;=0</t>
        </is>
      </c>
    </row>
    <row r="20">
      <c r="A20" s="45" t="inlineStr">
        <is>
          <t>能源托管/EMC</t>
        </is>
      </c>
      <c r="B20" s="45" t="inlineStr">
        <is>
          <t>其他/第三方收入</t>
        </is>
      </c>
      <c r="C20" s="45" t="inlineStr">
        <is>
          <t>元/年</t>
        </is>
      </c>
      <c r="D20" s="179" t="n">
        <v>0</v>
      </c>
      <c r="E20" s="45" t="inlineStr">
        <is>
          <t>模型默认假设</t>
        </is>
      </c>
      <c r="F20" s="45" t="inlineStr">
        <is>
          <t>可选</t>
        </is>
      </c>
      <c r="G20" s="60" t="inlineStr">
        <is>
          <t>如非业主支付的增值收入；不自动计入业主支出，避免双算。</t>
        </is>
      </c>
      <c r="H20" s="60" t="inlineStr">
        <is>
          <t>&gt;=0</t>
        </is>
      </c>
    </row>
    <row r="21">
      <c r="A21" s="45" t="inlineStr">
        <is>
          <t>能源托管/EMC</t>
        </is>
      </c>
      <c r="B21" s="45" t="inlineStr">
        <is>
          <t>综合节电率</t>
        </is>
      </c>
      <c r="C21" s="45" t="inlineStr">
        <is>
          <t>%</t>
        </is>
      </c>
      <c r="D21" s="181" t="n">
        <v>0.5</v>
      </c>
      <c r="E21" s="45" t="inlineStr">
        <is>
          <t>模型默认假设，需项目测算替换</t>
        </is>
      </c>
      <c r="F21" s="45" t="inlineStr">
        <is>
          <t>是</t>
        </is>
      </c>
      <c r="G21" s="60" t="inlineStr">
        <is>
          <t>LED改造+基础控制后的综合节电率。</t>
        </is>
      </c>
      <c r="H21" s="60" t="inlineStr">
        <is>
          <t>0-95%</t>
        </is>
      </c>
    </row>
    <row r="22">
      <c r="A22" s="45" t="inlineStr">
        <is>
          <t>能源托管/EMC</t>
        </is>
      </c>
      <c r="B22" s="45" t="inlineStr">
        <is>
          <t>服务商运维现金成本</t>
        </is>
      </c>
      <c r="C22" s="45" t="inlineStr">
        <is>
          <t>元/盏/年</t>
        </is>
      </c>
      <c r="D22" s="179" t="n">
        <v>81.33333333333333</v>
      </c>
      <c r="E22" s="45" t="inlineStr">
        <is>
          <t>模型默认假设，需报价替换</t>
        </is>
      </c>
      <c r="F22" s="45" t="inlineStr">
        <is>
          <t>是</t>
        </is>
      </c>
      <c r="G22" s="60" t="inlineStr">
        <is>
          <t>服务商实际维护成本，按正数录入。</t>
        </is>
      </c>
      <c r="H22" s="60" t="inlineStr">
        <is>
          <t>&gt;=0</t>
        </is>
      </c>
    </row>
    <row r="23">
      <c r="A23" s="45" t="inlineStr">
        <is>
          <t>能源托管/EMC</t>
        </is>
      </c>
      <c r="B23" s="45" t="inlineStr">
        <is>
          <t>平台/管理成本</t>
        </is>
      </c>
      <c r="C23" s="45" t="inlineStr">
        <is>
          <t>元/年</t>
        </is>
      </c>
      <c r="D23" s="179" t="n">
        <v>152500</v>
      </c>
      <c r="E23" s="45" t="inlineStr">
        <is>
          <t>模型默认假设</t>
        </is>
      </c>
      <c r="F23" s="45" t="inlineStr">
        <is>
          <t>是</t>
        </is>
      </c>
      <c r="G23" s="60" t="inlineStr">
        <is>
          <t>项目管理、平台接入、巡检系统等年度成本。</t>
        </is>
      </c>
      <c r="H23" s="60" t="inlineStr">
        <is>
          <t>&gt;=0</t>
        </is>
      </c>
    </row>
    <row r="24">
      <c r="A24" s="45" t="inlineStr">
        <is>
          <t>能源托管/EMC</t>
        </is>
      </c>
      <c r="B24" s="45" t="inlineStr">
        <is>
          <t>备件/小改造储备</t>
        </is>
      </c>
      <c r="C24" s="45" t="inlineStr">
        <is>
          <t>元/年</t>
        </is>
      </c>
      <c r="D24" s="179" t="n">
        <v>50833.33333333333</v>
      </c>
      <c r="E24" s="45" t="inlineStr">
        <is>
          <t>模型默认假设</t>
        </is>
      </c>
      <c r="F24" s="45" t="inlineStr">
        <is>
          <t>是</t>
        </is>
      </c>
      <c r="G24" s="60" t="inlineStr">
        <is>
          <t>备件更换、小修小改预留。</t>
        </is>
      </c>
      <c r="H24" s="60" t="inlineStr">
        <is>
          <t>&gt;=0</t>
        </is>
      </c>
    </row>
    <row r="25">
      <c r="A25" s="45" t="inlineStr">
        <is>
          <t>能源托管/EMC</t>
        </is>
      </c>
      <c r="B25" s="45" t="inlineStr">
        <is>
          <t>服务商是否承担电费</t>
        </is>
      </c>
      <c r="C25" s="45" t="inlineStr">
        <is>
          <t>0/1</t>
        </is>
      </c>
      <c r="D25" s="178" t="n">
        <v>0</v>
      </c>
      <c r="E25" s="45" t="inlineStr">
        <is>
          <t>模型开关</t>
        </is>
      </c>
      <c r="F25" s="45" t="inlineStr">
        <is>
          <t>是</t>
        </is>
      </c>
      <c r="G25" s="60" t="inlineStr">
        <is>
          <t>0=业主继续支付电费；1=服务商承担电费。</t>
        </is>
      </c>
      <c r="H25" s="60" t="inlineStr">
        <is>
          <t>0或1</t>
        </is>
      </c>
    </row>
    <row r="26">
      <c r="A26" s="45" t="inlineStr">
        <is>
          <t>能源托管/EMC</t>
        </is>
      </c>
      <c r="B26" s="45" t="inlineStr">
        <is>
          <t>资产转让年份</t>
        </is>
      </c>
      <c r="C26" s="45" t="inlineStr">
        <is>
          <t>年</t>
        </is>
      </c>
      <c r="D26" s="178" t="n">
        <v>0</v>
      </c>
      <c r="E26" s="45" t="inlineStr">
        <is>
          <t>模型默认假设</t>
        </is>
      </c>
      <c r="F26" s="45" t="inlineStr">
        <is>
          <t>可选</t>
        </is>
      </c>
      <c r="G26" s="60" t="inlineStr">
        <is>
          <t>0表示不转让；如第5年转让则填5。</t>
        </is>
      </c>
      <c r="H26" s="60" t="inlineStr">
        <is>
          <t>0-模型期</t>
        </is>
      </c>
    </row>
    <row r="27">
      <c r="A27" s="45" t="inlineStr">
        <is>
          <t>能源托管/EMC</t>
        </is>
      </c>
      <c r="B27" s="45" t="inlineStr">
        <is>
          <t>资产转让收入</t>
        </is>
      </c>
      <c r="C27" s="45" t="inlineStr">
        <is>
          <t>元</t>
        </is>
      </c>
      <c r="D27" s="179" t="n">
        <v>0</v>
      </c>
      <c r="E27" s="45" t="inlineStr">
        <is>
          <t>模型默认假设</t>
        </is>
      </c>
      <c r="F27" s="45" t="inlineStr">
        <is>
          <t>可选</t>
        </is>
      </c>
      <c r="G27" s="60" t="inlineStr">
        <is>
          <t>资产买断/转让收入；仅在资产转让年份进入服务商现金流。</t>
        </is>
      </c>
      <c r="H27" s="60" t="inlineStr">
        <is>
          <t>&gt;=0</t>
        </is>
      </c>
    </row>
    <row r="28">
      <c r="A28" s="50" t="inlineStr">
        <is>
          <t>LaaS/AI订阅</t>
        </is>
      </c>
      <c r="B28" s="50" t="inlineStr">
        <is>
          <t>初始CAPEX单价</t>
        </is>
      </c>
      <c r="C28" s="50" t="inlineStr">
        <is>
          <t>元/盏</t>
        </is>
      </c>
      <c r="D28" s="182" t="n">
        <v>707.88</v>
      </c>
      <c r="E28" s="50" t="inlineStr">
        <is>
          <t>模型默认假设，需报价替换</t>
        </is>
      </c>
      <c r="F28" s="50" t="inlineStr">
        <is>
          <t>是</t>
        </is>
      </c>
      <c r="G28" s="61" t="inlineStr">
        <is>
          <t>通常含AI、通信、传感、平台接入，可能高于普通托管。</t>
        </is>
      </c>
      <c r="H28" s="61" t="inlineStr">
        <is>
          <t>&gt;=0</t>
        </is>
      </c>
    </row>
    <row r="29">
      <c r="A29" s="45" t="inlineStr">
        <is>
          <t>LaaS/AI订阅</t>
        </is>
      </c>
      <c r="B29" s="45" t="inlineStr">
        <is>
          <t>订阅费收入</t>
        </is>
      </c>
      <c r="C29" s="45" t="inlineStr">
        <is>
          <t>元/年</t>
        </is>
      </c>
      <c r="D29" s="179" t="n">
        <v>2660000</v>
      </c>
      <c r="E29" s="45" t="inlineStr">
        <is>
          <t>默认等于业主年度预算</t>
        </is>
      </c>
      <c r="F29" s="45" t="inlineStr">
        <is>
          <t>是</t>
        </is>
      </c>
      <c r="G29" s="60" t="inlineStr">
        <is>
          <t>服务商每年从业主获得的订阅费。</t>
        </is>
      </c>
      <c r="H29" s="60" t="inlineStr">
        <is>
          <t>&gt;=0</t>
        </is>
      </c>
    </row>
    <row r="30">
      <c r="A30" s="45" t="inlineStr">
        <is>
          <t>LaaS/AI订阅</t>
        </is>
      </c>
      <c r="B30" s="45" t="inlineStr">
        <is>
          <t>其他/第三方收入</t>
        </is>
      </c>
      <c r="C30" s="45" t="inlineStr">
        <is>
          <t>元/年</t>
        </is>
      </c>
      <c r="D30" s="179" t="n">
        <v>0</v>
      </c>
      <c r="E30" s="45" t="inlineStr">
        <is>
          <t>模型默认假设</t>
        </is>
      </c>
      <c r="F30" s="45" t="inlineStr">
        <is>
          <t>可选</t>
        </is>
      </c>
      <c r="G30" s="60" t="inlineStr">
        <is>
          <t>广告、数据服务、城市接口等收入；不自动计入业主支出。</t>
        </is>
      </c>
      <c r="H30" s="60" t="inlineStr">
        <is>
          <t>&gt;=0</t>
        </is>
      </c>
    </row>
    <row r="31">
      <c r="A31" s="45" t="inlineStr">
        <is>
          <t>LaaS/AI订阅</t>
        </is>
      </c>
      <c r="B31" s="45" t="inlineStr">
        <is>
          <t>综合节电率</t>
        </is>
      </c>
      <c r="C31" s="45" t="inlineStr">
        <is>
          <t>%</t>
        </is>
      </c>
      <c r="D31" s="181" t="n">
        <v>0.999</v>
      </c>
      <c r="E31" s="45" t="inlineStr">
        <is>
          <t>模型默认假设，需项目测算替换</t>
        </is>
      </c>
      <c r="F31" s="45" t="inlineStr">
        <is>
          <t>是</t>
        </is>
      </c>
      <c r="G31" s="60" t="inlineStr">
        <is>
          <t>LED+AI调光+异常识别后的综合节电率。</t>
        </is>
      </c>
      <c r="H31" s="60" t="inlineStr">
        <is>
          <t>0-95%</t>
        </is>
      </c>
    </row>
    <row r="32">
      <c r="A32" s="45" t="inlineStr">
        <is>
          <t>LaaS/AI订阅</t>
        </is>
      </c>
      <c r="B32" s="45" t="inlineStr">
        <is>
          <t>服务商运维现金成本</t>
        </is>
      </c>
      <c r="C32" s="45" t="inlineStr">
        <is>
          <t>元/盏/年</t>
        </is>
      </c>
      <c r="D32" s="179" t="n">
        <v>45.75</v>
      </c>
      <c r="E32" s="45" t="inlineStr">
        <is>
          <t>模型默认假设，需项目测算替换</t>
        </is>
      </c>
      <c r="F32" s="45" t="inlineStr">
        <is>
          <t>是</t>
        </is>
      </c>
      <c r="G32" s="60" t="inlineStr">
        <is>
          <t>AI巡检、远程诊断、工单化后可能降低。</t>
        </is>
      </c>
      <c r="H32" s="60" t="inlineStr">
        <is>
          <t>&gt;=0</t>
        </is>
      </c>
    </row>
    <row r="33">
      <c r="A33" s="45" t="inlineStr">
        <is>
          <t>LaaS/AI订阅</t>
        </is>
      </c>
      <c r="B33" s="45" t="inlineStr">
        <is>
          <t>平台/AI升级成本</t>
        </is>
      </c>
      <c r="C33" s="45" t="inlineStr">
        <is>
          <t>元/年</t>
        </is>
      </c>
      <c r="D33" s="179" t="n">
        <v>266875</v>
      </c>
      <c r="E33" s="45" t="inlineStr">
        <is>
          <t>模型默认假设</t>
        </is>
      </c>
      <c r="F33" s="45" t="inlineStr">
        <is>
          <t>是</t>
        </is>
      </c>
      <c r="G33" s="60" t="inlineStr">
        <is>
          <t>算法、平台、通信、云资源、版本升级等年度成本。</t>
        </is>
      </c>
      <c r="H33" s="60" t="inlineStr">
        <is>
          <t>&gt;=0</t>
        </is>
      </c>
    </row>
    <row r="34">
      <c r="A34" s="45" t="inlineStr">
        <is>
          <t>LaaS/AI订阅</t>
        </is>
      </c>
      <c r="B34" s="45" t="inlineStr">
        <is>
          <t>升级/备件储备</t>
        </is>
      </c>
      <c r="C34" s="45" t="inlineStr">
        <is>
          <t>元/年</t>
        </is>
      </c>
      <c r="D34" s="179" t="n">
        <v>114375</v>
      </c>
      <c r="E34" s="45" t="inlineStr">
        <is>
          <t>模型默认假设</t>
        </is>
      </c>
      <c r="F34" s="45" t="inlineStr">
        <is>
          <t>是</t>
        </is>
      </c>
      <c r="G34" s="60" t="inlineStr">
        <is>
          <t>硬件升级、备件与系统迭代预留。</t>
        </is>
      </c>
      <c r="H34" s="60" t="inlineStr">
        <is>
          <t>&gt;=0</t>
        </is>
      </c>
    </row>
    <row r="35">
      <c r="A35" s="45" t="inlineStr">
        <is>
          <t>LaaS/AI订阅</t>
        </is>
      </c>
      <c r="B35" s="45" t="inlineStr">
        <is>
          <t>服务商是否承担电费</t>
        </is>
      </c>
      <c r="C35" s="45" t="inlineStr">
        <is>
          <t>0/1</t>
        </is>
      </c>
      <c r="D35" s="178" t="n">
        <v>0</v>
      </c>
      <c r="E35" s="45" t="inlineStr">
        <is>
          <t>模型开关</t>
        </is>
      </c>
      <c r="F35" s="45" t="inlineStr">
        <is>
          <t>是</t>
        </is>
      </c>
      <c r="G35" s="60" t="inlineStr">
        <is>
          <t>0=业主继续支付电费；1=服务商承担电费。</t>
        </is>
      </c>
      <c r="H35" s="60" t="inlineStr">
        <is>
          <t>0或1</t>
        </is>
      </c>
    </row>
    <row r="36">
      <c r="A36" s="45" t="inlineStr">
        <is>
          <t>LaaS/AI订阅</t>
        </is>
      </c>
      <c r="B36" s="45" t="inlineStr">
        <is>
          <t>资产转让年份</t>
        </is>
      </c>
      <c r="C36" s="45" t="inlineStr">
        <is>
          <t>年</t>
        </is>
      </c>
      <c r="D36" s="178" t="n">
        <v>0</v>
      </c>
      <c r="E36" s="45" t="inlineStr">
        <is>
          <t>模型默认假设</t>
        </is>
      </c>
      <c r="F36" s="45" t="inlineStr">
        <is>
          <t>可选</t>
        </is>
      </c>
      <c r="G36" s="60" t="inlineStr">
        <is>
          <t>0表示不转让；如第5年转让则填5。</t>
        </is>
      </c>
      <c r="H36" s="60" t="inlineStr">
        <is>
          <t>0-模型期</t>
        </is>
      </c>
    </row>
    <row r="37">
      <c r="A37" s="45" t="inlineStr">
        <is>
          <t>LaaS/AI订阅</t>
        </is>
      </c>
      <c r="B37" s="45" t="inlineStr">
        <is>
          <t>资产转让收入</t>
        </is>
      </c>
      <c r="C37" s="45" t="inlineStr">
        <is>
          <t>元</t>
        </is>
      </c>
      <c r="D37" s="179" t="n">
        <v>0</v>
      </c>
      <c r="E37" s="45" t="inlineStr">
        <is>
          <t>模型默认假设</t>
        </is>
      </c>
      <c r="F37" s="45" t="inlineStr">
        <is>
          <t>可选</t>
        </is>
      </c>
      <c r="G37" s="60" t="inlineStr">
        <is>
          <t>资产买断/转让收入；仅在资产转让年份进入服务商现金流。</t>
        </is>
      </c>
      <c r="H37" s="60" t="inlineStr">
        <is>
          <t>&gt;=0</t>
        </is>
      </c>
    </row>
    <row r="45">
      <c r="A45" t="inlineStr">
        <is>
          <t>首期款(元)/客户预付</t>
        </is>
      </c>
      <c r="D45" t="n">
        <v>0</v>
      </c>
    </row>
    <row r="46">
      <c r="A46" t="inlineStr">
        <is>
          <t>后4年年费减免(元/年)</t>
        </is>
      </c>
      <c r="D46" t="n">
        <v>0</v>
      </c>
    </row>
    <row r="47">
      <c r="A47" t="inlineStr">
        <is>
          <t>方案标识</t>
        </is>
      </c>
      <c r="D47" t="inlineStr">
        <is>
          <t>Tier05_AISolar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6" customWidth="1" min="3" max="3"/>
    <col width="18" customWidth="1" min="4" max="4"/>
    <col width="34" customWidth="1" min="5" max="5"/>
    <col width="16" customWidth="1" min="6" max="6"/>
  </cols>
  <sheetData>
    <row r="1" ht="26" customHeight="1">
      <c r="A1" s="5" t="inlineStr">
        <is>
          <t>现状基准测算｜不改造情形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所有节省额均相对于本页“不改造”基准计算。</t>
        </is>
      </c>
      <c r="B2" s="1" t="n"/>
      <c r="C2" s="1" t="n"/>
      <c r="D2" s="1" t="n"/>
      <c r="E2" s="1" t="n"/>
      <c r="F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公式/口径</t>
        </is>
      </c>
      <c r="D4" s="44" t="inlineStr">
        <is>
          <t>计算值</t>
        </is>
      </c>
      <c r="E4" s="44" t="inlineStr">
        <is>
          <t>备注</t>
        </is>
      </c>
      <c r="F4" s="44" t="inlineStr">
        <is>
          <t>校验</t>
        </is>
      </c>
    </row>
    <row r="5">
      <c r="A5" s="45" t="inlineStr">
        <is>
          <t>灯具数量</t>
        </is>
      </c>
      <c r="B5" s="45" t="inlineStr">
        <is>
          <t>盏</t>
        </is>
      </c>
      <c r="C5" s="60" t="inlineStr">
        <is>
          <t>来自Inputs</t>
        </is>
      </c>
      <c r="D5" s="183">
        <f>'02_Inputs'!D6</f>
        <v/>
      </c>
      <c r="E5" s="60" t="str"/>
      <c r="F5" s="45" t="str"/>
    </row>
    <row r="6">
      <c r="A6" s="45" t="inlineStr">
        <is>
          <t>现状单灯功率</t>
        </is>
      </c>
      <c r="B6" s="45" t="inlineStr">
        <is>
          <t>W/盏</t>
        </is>
      </c>
      <c r="C6" s="60" t="inlineStr">
        <is>
          <t>来自Inputs</t>
        </is>
      </c>
      <c r="D6" s="183">
        <f>'02_Inputs'!D9</f>
        <v/>
      </c>
      <c r="E6" s="60" t="str"/>
      <c r="F6" s="45" t="str"/>
    </row>
    <row r="7">
      <c r="A7" s="45" t="inlineStr">
        <is>
          <t>每日亮灯小时</t>
        </is>
      </c>
      <c r="B7" s="45" t="inlineStr">
        <is>
          <t>小时/天</t>
        </is>
      </c>
      <c r="C7" s="60" t="inlineStr">
        <is>
          <t>来自Inputs</t>
        </is>
      </c>
      <c r="D7" s="183">
        <f>'02_Inputs'!D10</f>
        <v/>
      </c>
      <c r="E7" s="60" t="str"/>
      <c r="F7" s="45" t="str"/>
    </row>
    <row r="8">
      <c r="A8" s="45" t="inlineStr">
        <is>
          <t>年运行天数</t>
        </is>
      </c>
      <c r="B8" s="45" t="inlineStr">
        <is>
          <t>天/年</t>
        </is>
      </c>
      <c r="C8" s="60" t="inlineStr">
        <is>
          <t>来自Inputs</t>
        </is>
      </c>
      <c r="D8" s="183">
        <f>'02_Inputs'!D11</f>
        <v/>
      </c>
      <c r="E8" s="60" t="str"/>
      <c r="F8" s="45" t="str"/>
    </row>
    <row r="9">
      <c r="A9" s="45" t="inlineStr">
        <is>
          <t>年运行小时</t>
        </is>
      </c>
      <c r="B9" s="45" t="inlineStr">
        <is>
          <t>小时/年</t>
        </is>
      </c>
      <c r="C9" s="60" t="inlineStr">
        <is>
          <t>每日亮灯小时×年运行天数</t>
        </is>
      </c>
      <c r="D9" s="183">
        <f>D7*D8</f>
        <v/>
      </c>
      <c r="E9" s="60" t="str"/>
      <c r="F9" s="45" t="str"/>
    </row>
    <row r="10">
      <c r="A10" s="45" t="inlineStr">
        <is>
          <t>现状年用电量</t>
        </is>
      </c>
      <c r="B10" s="45" t="inlineStr">
        <is>
          <t>kWh/年</t>
        </is>
      </c>
      <c r="C10" s="60" t="inlineStr">
        <is>
          <t>灯具数量×单灯功率÷1000×年运行小时</t>
        </is>
      </c>
      <c r="D10" s="183">
        <f>D5*D6/1000*D9</f>
        <v/>
      </c>
      <c r="E10" s="60" t="str"/>
      <c r="F10" s="45" t="str"/>
    </row>
    <row r="11">
      <c r="A11" s="45" t="inlineStr">
        <is>
          <t>电价</t>
        </is>
      </c>
      <c r="B11" s="45" t="inlineStr">
        <is>
          <t>元/kWh</t>
        </is>
      </c>
      <c r="C11" s="60" t="inlineStr">
        <is>
          <t>来自Inputs</t>
        </is>
      </c>
      <c r="D11" s="184">
        <f>'02_Inputs'!D8</f>
        <v/>
      </c>
      <c r="E11" s="60" t="str"/>
      <c r="F11" s="45" t="str"/>
    </row>
    <row r="12">
      <c r="A12" s="45" t="inlineStr">
        <is>
          <t>基准年电费</t>
        </is>
      </c>
      <c r="B12" s="45" t="inlineStr">
        <is>
          <t>元/年</t>
        </is>
      </c>
      <c r="C12" s="60" t="inlineStr">
        <is>
          <t>现状年用电量×电价</t>
        </is>
      </c>
      <c r="D12" s="185">
        <f>D10*D11</f>
        <v/>
      </c>
      <c r="E12" s="60" t="str"/>
      <c r="F12" s="45" t="str"/>
    </row>
    <row r="13">
      <c r="A13" s="45" t="inlineStr">
        <is>
          <t>现状运维单价</t>
        </is>
      </c>
      <c r="B13" s="45" t="inlineStr">
        <is>
          <t>元/盏/年</t>
        </is>
      </c>
      <c r="C13" s="60" t="inlineStr">
        <is>
          <t>来自Inputs</t>
        </is>
      </c>
      <c r="D13" s="185">
        <f>'02_Inputs'!D12</f>
        <v/>
      </c>
      <c r="E13" s="60" t="str"/>
      <c r="F13" s="45" t="str"/>
    </row>
    <row r="14">
      <c r="A14" s="45" t="inlineStr">
        <is>
          <t>基准年运维费</t>
        </is>
      </c>
      <c r="B14" s="45" t="inlineStr">
        <is>
          <t>元/年</t>
        </is>
      </c>
      <c r="C14" s="60" t="inlineStr">
        <is>
          <t>灯具数量×现状运维单价</t>
        </is>
      </c>
      <c r="D14" s="185">
        <f>D5*D13</f>
        <v/>
      </c>
      <c r="E14" s="60" t="str"/>
      <c r="F14" s="45" t="str"/>
    </row>
    <row r="15">
      <c r="A15" s="79" t="inlineStr">
        <is>
          <t>基准年总成本</t>
        </is>
      </c>
      <c r="B15" s="79" t="inlineStr">
        <is>
          <t>元/年</t>
        </is>
      </c>
      <c r="C15" s="89" t="inlineStr">
        <is>
          <t>基准年电费+基准年运维费</t>
        </is>
      </c>
      <c r="D15" s="186">
        <f>D12+D14</f>
        <v/>
      </c>
      <c r="E15" s="89" t="str"/>
      <c r="F15" s="79" t="str"/>
    </row>
    <row r="16">
      <c r="A16" s="79" t="inlineStr">
        <is>
          <t>业主年度服务费预算</t>
        </is>
      </c>
      <c r="B16" s="79" t="inlineStr">
        <is>
          <t>元/年</t>
        </is>
      </c>
      <c r="C16" s="89" t="inlineStr">
        <is>
          <t>来自Inputs</t>
        </is>
      </c>
      <c r="D16" s="186">
        <f>'02_Inputs'!D7</f>
        <v/>
      </c>
      <c r="E16" s="89" t="str"/>
      <c r="F16" s="79" t="str"/>
    </row>
    <row r="17">
      <c r="A17" s="79" t="inlineStr">
        <is>
          <t>10年业主预算总额</t>
        </is>
      </c>
      <c r="B17" s="79" t="inlineStr">
        <is>
          <t>元</t>
        </is>
      </c>
      <c r="C17" s="89" t="inlineStr">
        <is>
          <t>年度预算×模型期</t>
        </is>
      </c>
      <c r="D17" s="186">
        <f>D16*'02_Inputs'!D5</f>
        <v/>
      </c>
      <c r="E17" s="89" t="str"/>
      <c r="F17" s="79" t="str"/>
    </row>
    <row r="18">
      <c r="A18" s="79" t="inlineStr">
        <is>
          <t>10年不改造总成本</t>
        </is>
      </c>
      <c r="B18" s="79" t="inlineStr">
        <is>
          <t>元</t>
        </is>
      </c>
      <c r="C18" s="89" t="inlineStr">
        <is>
          <t>年度基准总成本合计，考虑增长率</t>
        </is>
      </c>
      <c r="D18" s="186">
        <f>SUM('05_Annual_Model'!D8:M8)</f>
        <v/>
      </c>
      <c r="E18" s="89" t="str"/>
      <c r="F18" s="79" t="str"/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42" customWidth="1" min="6" max="6"/>
    <col width="18" customWidth="1" min="7" max="7"/>
    <col width="36" customWidth="1" min="8" max="8"/>
  </cols>
  <sheetData>
    <row r="1" ht="26" customHeight="1">
      <c r="A1" s="5" t="inlineStr">
        <is>
          <t>模式参数对比｜同一项目条件下的两种模式</t>
        </is>
      </c>
      <c r="B1" s="1" t="n"/>
      <c r="C1" s="1" t="n"/>
      <c r="D1" s="1" t="n"/>
      <c r="E1" s="1" t="n"/>
      <c r="F1" s="1" t="n"/>
      <c r="G1" s="1" t="n"/>
      <c r="H1" s="1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注意：业主年度预算、灯具数量、电价、现状运维费等基础条件相同；模式差异只体现在CAPEX、节电率、运维成本、平台成本、备件储备、是否承担电费等。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44" t="inlineStr">
        <is>
          <t>项目</t>
        </is>
      </c>
      <c r="B4" s="44" t="inlineStr">
        <is>
          <t>单位</t>
        </is>
      </c>
      <c r="C4" s="44" t="inlineStr">
        <is>
          <t>能源托管/EMC</t>
        </is>
      </c>
      <c r="D4" s="44" t="inlineStr">
        <is>
          <t>LaaS/AI订阅</t>
        </is>
      </c>
      <c r="E4" s="44" t="inlineStr">
        <is>
          <t>LaaS相对差异</t>
        </is>
      </c>
      <c r="F4" s="44" t="inlineStr">
        <is>
          <t>计算口径</t>
        </is>
      </c>
      <c r="G4" s="44" t="inlineStr">
        <is>
          <t>归属方</t>
        </is>
      </c>
      <c r="H4" s="44" t="inlineStr">
        <is>
          <t>备注</t>
        </is>
      </c>
    </row>
    <row r="5">
      <c r="A5" s="45" t="inlineStr">
        <is>
          <t>初始CAPEX总额</t>
        </is>
      </c>
      <c r="B5" s="45" t="inlineStr">
        <is>
          <t>元</t>
        </is>
      </c>
      <c r="C5" s="173">
        <f>'02_Inputs'!D6*'02_Inputs'!D18</f>
        <v/>
      </c>
      <c r="D5" s="173">
        <f>'02_Inputs'!D6*'02_Inputs'!D28</f>
        <v/>
      </c>
      <c r="E5" s="173">
        <f>C5-D5</f>
        <v/>
      </c>
      <c r="F5" s="60" t="inlineStr">
        <is>
          <t>灯具数量×CAPEX单价</t>
        </is>
      </c>
      <c r="G5" s="60" t="inlineStr">
        <is>
          <t>服务商</t>
        </is>
      </c>
      <c r="H5" s="60" t="inlineStr">
        <is>
          <t>Y0一次性投入，现金流中扣减</t>
        </is>
      </c>
    </row>
    <row r="6">
      <c r="A6" s="45" t="inlineStr">
        <is>
          <t>年度服务/订阅收入</t>
        </is>
      </c>
      <c r="B6" s="45" t="inlineStr">
        <is>
          <t>元/年</t>
        </is>
      </c>
      <c r="C6" s="173">
        <f>'02_Inputs'!D19</f>
        <v/>
      </c>
      <c r="D6" s="173">
        <f>'02_Inputs'!D29</f>
        <v/>
      </c>
      <c r="E6" s="173">
        <f>D6-C6</f>
        <v/>
      </c>
      <c r="F6" s="60" t="inlineStr">
        <is>
          <t>来自输入假设</t>
        </is>
      </c>
      <c r="G6" s="60" t="inlineStr">
        <is>
          <t>服务商收入/业主支出</t>
        </is>
      </c>
      <c r="H6" s="60" t="inlineStr">
        <is>
          <t>业主固定支付给服务商</t>
        </is>
      </c>
    </row>
    <row r="7">
      <c r="A7" s="45" t="inlineStr">
        <is>
          <t>其他/第三方收入</t>
        </is>
      </c>
      <c r="B7" s="45" t="inlineStr">
        <is>
          <t>元/年</t>
        </is>
      </c>
      <c r="C7" s="173">
        <f>'02_Inputs'!D20</f>
        <v/>
      </c>
      <c r="D7" s="173">
        <f>'02_Inputs'!D30</f>
        <v/>
      </c>
      <c r="E7" s="173">
        <f>D7-C7</f>
        <v/>
      </c>
      <c r="F7" s="60" t="inlineStr">
        <is>
          <t>来自输入假设</t>
        </is>
      </c>
      <c r="G7" s="60" t="inlineStr">
        <is>
          <t>服务商收入</t>
        </is>
      </c>
      <c r="H7" s="60" t="inlineStr">
        <is>
          <t>默认不计入业主支出，避免双算</t>
        </is>
      </c>
    </row>
    <row r="8">
      <c r="A8" s="45" t="inlineStr">
        <is>
          <t>综合节电率</t>
        </is>
      </c>
      <c r="B8" s="45" t="inlineStr">
        <is>
          <t>%</t>
        </is>
      </c>
      <c r="C8" s="171">
        <f>'02_Inputs'!D21</f>
        <v/>
      </c>
      <c r="D8" s="171">
        <f>'02_Inputs'!D31</f>
        <v/>
      </c>
      <c r="E8" s="171">
        <f>D8-C8</f>
        <v/>
      </c>
      <c r="F8" s="60" t="inlineStr">
        <is>
          <t>来自输入假设</t>
        </is>
      </c>
      <c r="G8" s="60" t="inlineStr">
        <is>
          <t>承担电费一方</t>
        </is>
      </c>
      <c r="H8" s="60" t="inlineStr">
        <is>
          <t>影响改造后电费</t>
        </is>
      </c>
    </row>
    <row r="9">
      <c r="A9" s="45" t="inlineStr">
        <is>
          <t>改造后首年电费总额</t>
        </is>
      </c>
      <c r="B9" s="45" t="inlineStr">
        <is>
          <t>元/年</t>
        </is>
      </c>
      <c r="C9" s="173">
        <f>'03_Baseline'!D12*(1-C8)</f>
        <v/>
      </c>
      <c r="D9" s="173">
        <f>'03_Baseline'!D12*(1-D8)</f>
        <v/>
      </c>
      <c r="E9" s="173">
        <f>C9-D9</f>
        <v/>
      </c>
      <c r="F9" s="60" t="inlineStr">
        <is>
          <t>基准电费×(1-节电率)</t>
        </is>
      </c>
      <c r="G9" s="60" t="inlineStr">
        <is>
          <t>承担电费一方</t>
        </is>
      </c>
      <c r="H9" s="60" t="inlineStr">
        <is>
          <t>先计算物理电费，再由开关分配承担方</t>
        </is>
      </c>
    </row>
    <row r="10">
      <c r="A10" s="45" t="inlineStr">
        <is>
          <t>服务商是否承担电费</t>
        </is>
      </c>
      <c r="B10" s="45" t="inlineStr">
        <is>
          <t>0/1</t>
        </is>
      </c>
      <c r="C10" s="173">
        <f>'02_Inputs'!D25</f>
        <v/>
      </c>
      <c r="D10" s="173">
        <f>'02_Inputs'!D35</f>
        <v/>
      </c>
      <c r="E10" s="173">
        <f>D10-C10</f>
        <v/>
      </c>
      <c r="F10" s="60" t="inlineStr">
        <is>
          <t>来自输入假设</t>
        </is>
      </c>
      <c r="G10" s="60" t="inlineStr">
        <is>
          <t>现金流分配</t>
        </is>
      </c>
      <c r="H10" s="60" t="inlineStr">
        <is>
          <t>0=业主承担；1=服务商承担</t>
        </is>
      </c>
    </row>
    <row r="11">
      <c r="A11" s="45" t="inlineStr">
        <is>
          <t>服务商电费成本</t>
        </is>
      </c>
      <c r="B11" s="45" t="inlineStr">
        <is>
          <t>元/年</t>
        </is>
      </c>
      <c r="C11" s="173">
        <f>C9*C10</f>
        <v/>
      </c>
      <c r="D11" s="173">
        <f>D9*D10</f>
        <v/>
      </c>
      <c r="E11" s="173">
        <f>C11-D11</f>
        <v/>
      </c>
      <c r="F11" s="60" t="inlineStr">
        <is>
          <t>改造后电费×开关</t>
        </is>
      </c>
      <c r="G11" s="60" t="inlineStr">
        <is>
          <t>服务商成本</t>
        </is>
      </c>
      <c r="H11" s="60" t="inlineStr">
        <is>
          <t>成本为正数，净现金流中扣减</t>
        </is>
      </c>
    </row>
    <row r="12">
      <c r="A12" s="45" t="inlineStr">
        <is>
          <t>业主支付电费</t>
        </is>
      </c>
      <c r="B12" s="45" t="inlineStr">
        <is>
          <t>元/年</t>
        </is>
      </c>
      <c r="C12" s="173">
        <f>C9*(1-C10)</f>
        <v/>
      </c>
      <c r="D12" s="173">
        <f>D9*(1-D10)</f>
        <v/>
      </c>
      <c r="E12" s="173">
        <f>D12-C12</f>
        <v/>
      </c>
      <c r="F12" s="60" t="inlineStr">
        <is>
          <t>改造后电费×(1-开关)</t>
        </is>
      </c>
      <c r="G12" s="60" t="inlineStr">
        <is>
          <t>业主支出</t>
        </is>
      </c>
      <c r="H12" s="60" t="inlineStr">
        <is>
          <t>业主若不承担则为0</t>
        </is>
      </c>
    </row>
    <row r="13">
      <c r="A13" s="45" t="inlineStr">
        <is>
          <t>服务商运维成本</t>
        </is>
      </c>
      <c r="B13" s="45" t="inlineStr">
        <is>
          <t>元/年</t>
        </is>
      </c>
      <c r="C13" s="173">
        <f>'02_Inputs'!D6*'02_Inputs'!D22</f>
        <v/>
      </c>
      <c r="D13" s="173">
        <f>'02_Inputs'!D6*'02_Inputs'!D32</f>
        <v/>
      </c>
      <c r="E13" s="173">
        <f>C13-D13</f>
        <v/>
      </c>
      <c r="F13" s="60" t="inlineStr">
        <is>
          <t>灯具数量×服务商运维现金成本单价</t>
        </is>
      </c>
      <c r="G13" s="60" t="inlineStr">
        <is>
          <t>服务商成本</t>
        </is>
      </c>
      <c r="H13" s="60" t="inlineStr">
        <is>
          <t>成本为正数，净现金流中扣减</t>
        </is>
      </c>
    </row>
    <row r="14">
      <c r="A14" s="45" t="inlineStr">
        <is>
          <t>平台/管理/AI成本</t>
        </is>
      </c>
      <c r="B14" s="45" t="inlineStr">
        <is>
          <t>元/年</t>
        </is>
      </c>
      <c r="C14" s="173">
        <f>'02_Inputs'!D23</f>
        <v/>
      </c>
      <c r="D14" s="173">
        <f>'02_Inputs'!D33</f>
        <v/>
      </c>
      <c r="E14" s="173">
        <f>C14-D14</f>
        <v/>
      </c>
      <c r="F14" s="60" t="inlineStr">
        <is>
          <t>来自输入假设</t>
        </is>
      </c>
      <c r="G14" s="60" t="inlineStr">
        <is>
          <t>服务商成本</t>
        </is>
      </c>
      <c r="H14" s="60" t="inlineStr">
        <is>
          <t>成本为正数，净现金流中扣减</t>
        </is>
      </c>
    </row>
    <row r="15">
      <c r="A15" s="45" t="inlineStr">
        <is>
          <t>备件/升级储备</t>
        </is>
      </c>
      <c r="B15" s="45" t="inlineStr">
        <is>
          <t>元/年</t>
        </is>
      </c>
      <c r="C15" s="173">
        <f>'02_Inputs'!D24</f>
        <v/>
      </c>
      <c r="D15" s="173">
        <f>'02_Inputs'!D34</f>
        <v/>
      </c>
      <c r="E15" s="173">
        <f>C15-D15</f>
        <v/>
      </c>
      <c r="F15" s="60" t="inlineStr">
        <is>
          <t>来自输入假设</t>
        </is>
      </c>
      <c r="G15" s="60" t="inlineStr">
        <is>
          <t>服务商成本</t>
        </is>
      </c>
      <c r="H15" s="60" t="inlineStr">
        <is>
          <t>成本为正数，净现金流中扣减</t>
        </is>
      </c>
    </row>
    <row r="16">
      <c r="A16" s="79" t="inlineStr">
        <is>
          <t>服务商年度收入合计</t>
        </is>
      </c>
      <c r="B16" s="79" t="inlineStr">
        <is>
          <t>元/年</t>
        </is>
      </c>
      <c r="C16" s="187">
        <f>C6+C7</f>
        <v/>
      </c>
      <c r="D16" s="187">
        <f>D6+D7</f>
        <v/>
      </c>
      <c r="E16" s="187">
        <f>D16-C16</f>
        <v/>
      </c>
      <c r="F16" s="89" t="inlineStr">
        <is>
          <t>服务/订阅收入+其他/第三方收入</t>
        </is>
      </c>
      <c r="G16" s="89" t="inlineStr">
        <is>
          <t>服务商</t>
        </is>
      </c>
      <c r="H16" s="89" t="inlineStr">
        <is>
          <t>不含资产转让一次性收入</t>
        </is>
      </c>
    </row>
    <row r="17">
      <c r="A17" s="79" t="inlineStr">
        <is>
          <t>服务商年度现金成本合计</t>
        </is>
      </c>
      <c r="B17" s="79" t="inlineStr">
        <is>
          <t>元/年</t>
        </is>
      </c>
      <c r="C17" s="187">
        <f>C11+C13+C14+C15</f>
        <v/>
      </c>
      <c r="D17" s="187">
        <f>D11+D13+D14+D15</f>
        <v/>
      </c>
      <c r="E17" s="187">
        <f>C17-D17</f>
        <v/>
      </c>
      <c r="F17" s="89" t="inlineStr">
        <is>
          <t>服务商电费成本+运维成本+平台成本+备件储备</t>
        </is>
      </c>
      <c r="G17" s="89" t="inlineStr">
        <is>
          <t>服务商</t>
        </is>
      </c>
      <c r="H17" s="89" t="inlineStr">
        <is>
          <t>不含初始CAPEX</t>
        </is>
      </c>
    </row>
    <row r="18">
      <c r="A18" s="79" t="inlineStr">
        <is>
          <t>服务商年度净经营现金流</t>
        </is>
      </c>
      <c r="B18" s="79" t="inlineStr">
        <is>
          <t>元/年</t>
        </is>
      </c>
      <c r="C18" s="187">
        <f>C16-C17</f>
        <v/>
      </c>
      <c r="D18" s="187">
        <f>D16-D17</f>
        <v/>
      </c>
      <c r="E18" s="187">
        <f>D18-C18</f>
        <v/>
      </c>
      <c r="F18" s="89" t="inlineStr">
        <is>
          <t>收入合计−现金成本合计</t>
        </is>
      </c>
      <c r="G18" s="89" t="inlineStr">
        <is>
          <t>服务商</t>
        </is>
      </c>
      <c r="H18" s="89" t="inlineStr">
        <is>
          <t>不含Y0 CAPEX</t>
        </is>
      </c>
    </row>
    <row r="19">
      <c r="A19" s="79" t="inlineStr">
        <is>
          <t>业主年度总支出</t>
        </is>
      </c>
      <c r="B19" s="79" t="inlineStr">
        <is>
          <t>元/年</t>
        </is>
      </c>
      <c r="C19" s="187">
        <f>C12+C6+'02_Inputs'!D17</f>
        <v/>
      </c>
      <c r="D19" s="187">
        <f>D12+D6+'02_Inputs'!D17</f>
        <v/>
      </c>
      <c r="E19" s="187">
        <f>C19-D19</f>
        <v/>
      </c>
      <c r="F19" s="89" t="inlineStr">
        <is>
          <t>业主支付电费+服务/订阅费+业主保留管理成本</t>
        </is>
      </c>
      <c r="G19" s="89" t="inlineStr">
        <is>
          <t>业主</t>
        </is>
      </c>
      <c r="H19" s="89" t="inlineStr">
        <is>
          <t>不包含服务商第三方收入</t>
        </is>
      </c>
    </row>
    <row r="20">
      <c r="A20" s="79" t="inlineStr">
        <is>
          <t>业主年度净节省</t>
        </is>
      </c>
      <c r="B20" s="79" t="inlineStr">
        <is>
          <t>元/年</t>
        </is>
      </c>
      <c r="C20" s="187">
        <f>'03_Baseline'!D15-C19</f>
        <v/>
      </c>
      <c r="D20" s="187">
        <f>'03_Baseline'!D15-D19</f>
        <v/>
      </c>
      <c r="E20" s="187">
        <f>D20-C20</f>
        <v/>
      </c>
      <c r="F20" s="89" t="inlineStr">
        <is>
          <t>基准年总成本−业主年度总支出</t>
        </is>
      </c>
      <c r="G20" s="89" t="inlineStr">
        <is>
          <t>业主</t>
        </is>
      </c>
      <c r="H20" s="89" t="inlineStr">
        <is>
          <t>正数表示业主省钱</t>
        </is>
      </c>
    </row>
    <row r="21">
      <c r="A21" s="79" t="inlineStr">
        <is>
          <t>业主节省率</t>
        </is>
      </c>
      <c r="B21" s="79" t="inlineStr">
        <is>
          <t>%</t>
        </is>
      </c>
      <c r="C21" s="188">
        <f>C20/'03_Baseline'!D15</f>
        <v/>
      </c>
      <c r="D21" s="188">
        <f>D20/'03_Baseline'!D15</f>
        <v/>
      </c>
      <c r="E21" s="188">
        <f>D21-C21</f>
        <v/>
      </c>
      <c r="F21" s="89" t="inlineStr">
        <is>
          <t>业主净节省÷基准年总成本</t>
        </is>
      </c>
      <c r="G21" s="89" t="inlineStr">
        <is>
          <t>业主</t>
        </is>
      </c>
      <c r="H21" s="89" t="inlineStr">
        <is>
          <t>用于判断业主接受度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Z63"/>
  <s:sheetViews>
    <s:sheetView workbookViewId="0">
      <s:selection activeCell="A1" sqref="A1"/>
    </s:sheetView>
  </s:sheetViews>
  <s:sheetFormatPr baseColWidth="8" defaultRowHeight="15"/>
  <s:cols>
    <s:col width="26" customWidth="1" min="1" max="1"/>
    <s:col width="34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3" customWidth="1" min="9" max="9"/>
    <s:col width="13" customWidth="1" min="10" max="10"/>
    <s:col width="13" customWidth="1" min="11" max="11"/>
    <s:col width="13" customWidth="1" min="12" max="12"/>
    <s:col width="13" customWidth="1" min="13" max="13"/>
  </s:cols>
  <s:sheetData>
    <s:row r="1" ht="26" customHeight="1">
      <s:c r="A1" s="5" t="inlineStr">
        <s:is>
          <s:t>年度现金流模型｜显性减法与承担方拆分版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本版修正：成本行全部为正数；净现金流=收入−成本；服务商其他/第三方收入不自动算作业主支出；电费按“是否由服务商承担”开关在服务商与业主之间分配。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4">
      <s:c r="A4" s="44" t="inlineStr">
        <s:is>
          <s:t>模块</s:t>
        </s:is>
      </s:c>
      <s:c r="B4" s="44" t="inlineStr">
        <s:is>
          <s:t>指标</s:t>
        </s:is>
      </s:c>
      <s:c r="C4" s="44" t="inlineStr">
        <s:is>
          <s:t>Y0</s:t>
        </s:is>
      </s:c>
      <s:c r="D4" s="44" t="inlineStr">
        <s:is>
          <s:t>Y1</s:t>
        </s:is>
      </s:c>
      <s:c r="E4" s="44" t="inlineStr">
        <s:is>
          <s:t>Y2</s:t>
        </s:is>
      </s:c>
      <s:c r="F4" s="44" t="inlineStr">
        <s:is>
          <s:t>Y3</s:t>
        </s:is>
      </s:c>
      <s:c r="G4" s="44" t="inlineStr">
        <s:is>
          <s:t>Y4</s:t>
        </s:is>
      </s:c>
      <s:c r="H4" s="44" t="inlineStr">
        <s:is>
          <s:t>Y5</s:t>
        </s:is>
      </s:c>
      <s:c r="I4" s="44" t="inlineStr">
        <s:is>
          <s:t>Y6</s:t>
        </s:is>
      </s:c>
      <s:c r="J4" s="44" t="inlineStr">
        <s:is>
          <s:t>Y7</s:t>
        </s:is>
      </s:c>
      <s:c r="K4" s="44" t="inlineStr">
        <s:is>
          <s:t>Y8</s:t>
        </s:is>
      </s:c>
      <s:c r="L4" s="44" t="inlineStr">
        <s:is>
          <s:t>Y9</s:t>
        </s:is>
      </s:c>
      <s:c r="M4" s="44" t="inlineStr">
        <s:is>
          <s:t>Y10</s:t>
        </s:is>
      </s:c>
    </s:row>
    <s:row r="5">
      <s:c r="A5" s="50" t="inlineStr">
        <s:is>
          <s:t>A. 基准情形（不改造）</s:t>
        </s:is>
      </s:c>
      <s:c r="B5" s="50" t="str"/>
      <s:c r="C5" s="50" t="n"/>
      <s:c r="D5" s="50" t="n"/>
      <s:c r="E5" s="50" t="n"/>
      <s:c r="F5" s="50" t="n"/>
      <s:c r="G5" s="50" t="n"/>
      <s:c r="H5" s="50" t="n"/>
      <s:c r="I5" s="50" t="n"/>
      <s:c r="J5" s="50" t="n"/>
      <s:c r="K5" s="50" t="n"/>
      <s:c r="L5" s="50" t="n"/>
      <s:c r="M5" s="50" t="n"/>
    </s:row>
    <s:row r="6">
      <s:c r="A6" s="45" t="inlineStr">
        <s:is>
          <s:t>基准</s:t>
        </s:is>
      </s:c>
      <s:c r="B6" s="45" t="inlineStr">
        <s:is>
          <s:t>基准年电费</s:t>
        </s:is>
      </s:c>
      <s:c r="C6" s="189">
        <s:f>0</s:f>
        <s:v/>
      </s:c>
      <s:c r="D6" s="189">
        <s:f>'03_Baseline'!$D$12*(1+'02_Inputs'!$D$14)^(1-1)</s:f>
        <s:v/>
      </s:c>
      <s:c r="E6" s="189">
        <s:f>'03_Baseline'!$D$12*(1+'02_Inputs'!$D$14)^(2-1)</s:f>
        <s:v/>
      </s:c>
      <s:c r="F6" s="189">
        <s:f>'03_Baseline'!$D$12*(1+'02_Inputs'!$D$14)^(3-1)</s:f>
        <s:v/>
      </s:c>
      <s:c r="G6" s="189">
        <s:f>'03_Baseline'!$D$12*(1+'02_Inputs'!$D$14)^(4-1)</s:f>
        <s:v/>
      </s:c>
      <s:c r="H6" s="189">
        <s:f>'03_Baseline'!$D$12*(1+'02_Inputs'!$D$14)^(5-1)</s:f>
        <s:v/>
      </s:c>
      <s:c r="I6" s="189">
        <s:f>'03_Baseline'!$D$12*(1+'02_Inputs'!$D$14)^(6-1)</s:f>
        <s:v/>
      </s:c>
      <s:c r="J6" s="189">
        <s:f>'03_Baseline'!$D$12*(1+'02_Inputs'!$D$14)^(7-1)</s:f>
        <s:v/>
      </s:c>
      <s:c r="K6" s="189">
        <s:f>'03_Baseline'!$D$12*(1+'02_Inputs'!$D$14)^(8-1)</s:f>
        <s:v/>
      </s:c>
      <s:c r="L6" s="189">
        <s:f>'03_Baseline'!$D$12*(1+'02_Inputs'!$D$14)^(9-1)</s:f>
        <s:v/>
      </s:c>
      <s:c r="M6" s="189">
        <s:f>'03_Baseline'!$D$12*(1+'02_Inputs'!$D$14)^(10-1)</s:f>
        <s:v/>
      </s:c>
    </s:row>
    <s:row r="7">
      <s:c r="A7" s="45" t="inlineStr">
        <s:is>
          <s:t>基准</s:t>
        </s:is>
      </s:c>
      <s:c r="B7" s="45" t="inlineStr">
        <s:is>
          <s:t>基准年运维费</s:t>
        </s:is>
      </s:c>
      <s:c r="C7" s="189">
        <s:f>0</s:f>
        <s:v/>
      </s:c>
      <s:c r="D7" s="189">
        <s:f>'03_Baseline'!$D$14*(1+'02_Inputs'!$D$15)^(1-1)</s:f>
        <s:v/>
      </s:c>
      <s:c r="E7" s="189">
        <s:f>'03_Baseline'!$D$14*(1+'02_Inputs'!$D$15)^(2-1)</s:f>
        <s:v/>
      </s:c>
      <s:c r="F7" s="189">
        <s:f>'03_Baseline'!$D$14*(1+'02_Inputs'!$D$15)^(3-1)</s:f>
        <s:v/>
      </s:c>
      <s:c r="G7" s="189">
        <s:f>'03_Baseline'!$D$14*(1+'02_Inputs'!$D$15)^(4-1)</s:f>
        <s:v/>
      </s:c>
      <s:c r="H7" s="189">
        <s:f>'03_Baseline'!$D$14*(1+'02_Inputs'!$D$15)^(5-1)</s:f>
        <s:v/>
      </s:c>
      <s:c r="I7" s="189">
        <s:f>'03_Baseline'!$D$14*(1+'02_Inputs'!$D$15)^(6-1)</s:f>
        <s:v/>
      </s:c>
      <s:c r="J7" s="189">
        <s:f>'03_Baseline'!$D$14*(1+'02_Inputs'!$D$15)^(7-1)</s:f>
        <s:v/>
      </s:c>
      <s:c r="K7" s="189">
        <s:f>'03_Baseline'!$D$14*(1+'02_Inputs'!$D$15)^(8-1)</s:f>
        <s:v/>
      </s:c>
      <s:c r="L7" s="189">
        <s:f>'03_Baseline'!$D$14*(1+'02_Inputs'!$D$15)^(9-1)</s:f>
        <s:v/>
      </s:c>
      <s:c r="M7" s="189">
        <s:f>'03_Baseline'!$D$14*(1+'02_Inputs'!$D$15)^(10-1)</s:f>
        <s:v/>
      </s:c>
    </s:row>
    <s:row r="8">
      <s:c r="A8" s="45" t="inlineStr">
        <s:is>
          <s:t>基准</s:t>
        </s:is>
      </s:c>
      <s:c r="B8" s="45" t="inlineStr">
        <s:is>
          <s:t>基准年总成本</s:t>
        </s:is>
      </s:c>
      <s:c r="C8" s="189">
        <s:f>0</s:f>
        <s:v/>
      </s:c>
      <s:c r="D8" s="189">
        <s:f>D6+D7</s:f>
        <s:v/>
      </s:c>
      <s:c r="E8" s="189">
        <s:f>E6+E7</s:f>
        <s:v/>
      </s:c>
      <s:c r="F8" s="189">
        <s:f>F6+F7</s:f>
        <s:v/>
      </s:c>
      <s:c r="G8" s="189">
        <s:f>G6+G7</s:f>
        <s:v/>
      </s:c>
      <s:c r="H8" s="189">
        <s:f>H6+H7</s:f>
        <s:v/>
      </s:c>
      <s:c r="I8" s="189">
        <s:f>I6+I7</s:f>
        <s:v/>
      </s:c>
      <s:c r="J8" s="189">
        <s:f>J6+J7</s:f>
        <s:v/>
      </s:c>
      <s:c r="K8" s="189">
        <s:f>K6+K7</s:f>
        <s:v/>
      </s:c>
      <s:c r="L8" s="189">
        <s:f>L6+L7</s:f>
        <s:v/>
      </s:c>
      <s:c r="M8" s="189">
        <s:f>M6+M7</s:f>
        <s:v/>
      </s:c>
    </s:row>
    <s:row r="9">
      <s:c r="A9" s="45" t="inlineStr">
        <s:is>
          <s:t>基准</s:t>
        </s:is>
      </s:c>
      <s:c r="B9" s="45" t="inlineStr">
        <s:is>
          <s:t>业主年度预算</s:t>
        </s:is>
      </s:c>
      <s:c r="C9" s="189">
        <s:f>0</s:f>
        <s:v/>
      </s:c>
      <s:c r="D9" s="189">
        <s:f>'02_Inputs'!$D$7*(1+'02_Inputs'!$D$16)^(1-1)</s:f>
        <s:v/>
      </s:c>
      <s:c r="E9" s="189">
        <s:f>'02_Inputs'!$D$7*(1+'02_Inputs'!$D$16)^(2-1)</s:f>
        <s:v/>
      </s:c>
      <s:c r="F9" s="189">
        <s:f>'02_Inputs'!$D$7*(1+'02_Inputs'!$D$16)^(3-1)</s:f>
        <s:v/>
      </s:c>
      <s:c r="G9" s="189">
        <s:f>'02_Inputs'!$D$7*(1+'02_Inputs'!$D$16)^(4-1)</s:f>
        <s:v/>
      </s:c>
      <s:c r="H9" s="189">
        <s:f>'02_Inputs'!$D$7*(1+'02_Inputs'!$D$16)^(5-1)</s:f>
        <s:v/>
      </s:c>
      <s:c r="I9" s="189">
        <s:f>'02_Inputs'!$D$7*(1+'02_Inputs'!$D$16)^(6-1)</s:f>
        <s:v/>
      </s:c>
      <s:c r="J9" s="189">
        <s:f>'02_Inputs'!$D$7*(1+'02_Inputs'!$D$16)^(7-1)</s:f>
        <s:v/>
      </s:c>
      <s:c r="K9" s="189">
        <s:f>'02_Inputs'!$D$7*(1+'02_Inputs'!$D$16)^(8-1)</s:f>
        <s:v/>
      </s:c>
      <s:c r="L9" s="189">
        <s:f>'02_Inputs'!$D$7*(1+'02_Inputs'!$D$16)^(9-1)</s:f>
        <s:v/>
      </s:c>
      <s:c r="M9" s="189">
        <s:f>'02_Inputs'!$D$7*(1+'02_Inputs'!$D$16)^(10-1)</s:f>
        <s:v/>
      </s:c>
    </s:row>
    <s:row r="10">
      <s:c r="A10" s="45" t="str"/>
      <s:c r="B10" s="45" t="str"/>
      <s:c r="C10" s="189" t="n"/>
      <s:c r="D10" s="189" t="n"/>
      <s:c r="E10" s="189" t="n"/>
      <s:c r="F10" s="189" t="n"/>
      <s:c r="G10" s="189" t="n"/>
      <s:c r="H10" s="189" t="n"/>
      <s:c r="I10" s="189" t="n"/>
      <s:c r="J10" s="189" t="n"/>
      <s:c r="K10" s="189" t="n"/>
      <s:c r="L10" s="189" t="n"/>
      <s:c r="M10" s="189" t="n"/>
    </s:row>
    <s:row r="11">
      <s:c r="A11" s="50" t="inlineStr">
        <s:is>
          <s:t>B. 能源托管/EMC｜服务商现金流</s:t>
        </s:is>
      </s:c>
      <s:c r="B11" s="50" t="str"/>
      <s:c r="C11" s="190" t="n"/>
      <s:c r="D11" s="190" t="n"/>
      <s:c r="E11" s="190" t="n"/>
      <s:c r="F11" s="190" t="n"/>
      <s:c r="G11" s="190" t="n"/>
      <s:c r="H11" s="190" t="n"/>
      <s:c r="I11" s="190" t="n"/>
      <s:c r="J11" s="190" t="n"/>
      <s:c r="K11" s="190" t="n"/>
      <s:c r="L11" s="190" t="n"/>
      <s:c r="M11" s="190" t="n"/>
    </s:row>
    <s:row r="12">
      <s:c r="A12" s="45" t="inlineStr">
        <s:is>
          <s:t>能源托管/EMC｜服务商</s:t>
        </s:is>
      </s:c>
      <s:c r="B12" s="45" t="inlineStr">
        <s:is>
          <s:t>初始CAPEX支出（正数，扣减）</s:t>
        </s:is>
      </s:c>
      <s:c r="C12" s="173">
        <s:f>'04_Mode_Params'!$C$5</s:f>
        <s:v/>
      </s:c>
      <s:c r="D12" s="173">
        <s:f>0</s:f>
        <s:v/>
      </s:c>
      <s:c r="E12" s="173">
        <s:f>0</s:f>
        <s:v/>
      </s:c>
      <s:c r="F12" s="173">
        <s:f>0</s:f>
        <s:v/>
      </s:c>
      <s:c r="G12" s="173">
        <s:f>0</s:f>
        <s:v/>
      </s:c>
      <s:c r="H12" s="173">
        <s:f>0</s:f>
        <s:v/>
      </s:c>
      <s:c r="I12" s="173">
        <s:f>0</s:f>
        <s:v/>
      </s:c>
      <s:c r="J12" s="173">
        <s:f>0</s:f>
        <s:v/>
      </s:c>
      <s:c r="K12" s="173">
        <s:f>0</s:f>
        <s:v/>
      </s:c>
      <s:c r="L12" s="173">
        <s:f>0</s:f>
        <s:v/>
      </s:c>
      <s:c r="M12" s="173">
        <s:f>0</s:f>
        <s:v/>
      </s:c>
    </s:row>
    <s:row r="13">
      <s:c r="A13" s="45" t="inlineStr">
        <s:is>
          <s:t>能源托管/EMC｜服务商</s:t>
        </s:is>
      </s:c>
      <s:c r="B13" s="45" t="inlineStr">
        <s:is>
          <s:t>固定服务费收入</s:t>
        </s:is>
      </s:c>
      <s:c r="C13" s="189">
        <s:f>0</s:f>
        <s:v/>
      </s:c>
      <s:c r="D13" s="189">
        <s:f>'04_Mode_Params'!$C$6*(1+'02_Inputs'!$D$16)^(1-1)</s:f>
        <s:v/>
      </s:c>
      <s:c r="E13" s="189">
        <s:f>'04_Mode_Params'!$C$6*(1+'02_Inputs'!$D$16)^(2-1)</s:f>
        <s:v/>
      </s:c>
      <s:c r="F13" s="189">
        <s:f>'04_Mode_Params'!$C$6*(1+'02_Inputs'!$D$16)^(3-1)</s:f>
        <s:v/>
      </s:c>
      <s:c r="G13" s="189">
        <s:f>'04_Mode_Params'!$C$6*(1+'02_Inputs'!$D$16)^(4-1)</s:f>
        <s:v/>
      </s:c>
      <s:c r="H13" s="189">
        <s:f>'04_Mode_Params'!$C$6*(1+'02_Inputs'!$D$16)^(5-1)</s:f>
        <s:v/>
      </s:c>
      <s:c r="I13" s="189">
        <s:f>'04_Mode_Params'!$C$6*(1+'02_Inputs'!$D$16)^(6-1)</s:f>
        <s:v/>
      </s:c>
      <s:c r="J13" s="189">
        <s:f>'04_Mode_Params'!$C$6*(1+'02_Inputs'!$D$16)^(7-1)</s:f>
        <s:v/>
      </s:c>
      <s:c r="K13" s="189">
        <s:f>'04_Mode_Params'!$C$6*(1+'02_Inputs'!$D$16)^(8-1)</s:f>
        <s:v/>
      </s:c>
      <s:c r="L13" s="189">
        <s:f>'04_Mode_Params'!$C$6*(1+'02_Inputs'!$D$16)^(9-1)</s:f>
        <s:v/>
      </s:c>
      <s:c r="M13" s="189">
        <s:f>'04_Mode_Params'!$C$6*(1+'02_Inputs'!$D$16)^(10-1)</s:f>
        <s:v/>
      </s:c>
    </s:row>
    <s:row r="14">
      <s:c r="A14" s="45" t="inlineStr">
        <s:is>
          <s:t>能源托管/EMC｜服务商</s:t>
        </s:is>
      </s:c>
      <s:c r="B14" s="45" t="inlineStr">
        <s:is>
          <s:t>其他/第三方收入</s:t>
        </s:is>
      </s:c>
      <s:c r="C14" s="189">
        <s:f>0</s:f>
        <s:v/>
      </s:c>
      <s:c r="D14" s="189">
        <s:f>'04_Mode_Params'!$C$7*(1+'02_Inputs'!$D$16)^(1-1)</s:f>
        <s:v/>
      </s:c>
      <s:c r="E14" s="189">
        <s:f>'04_Mode_Params'!$C$7*(1+'02_Inputs'!$D$16)^(2-1)</s:f>
        <s:v/>
      </s:c>
      <s:c r="F14" s="189">
        <s:f>'04_Mode_Params'!$C$7*(1+'02_Inputs'!$D$16)^(3-1)</s:f>
        <s:v/>
      </s:c>
      <s:c r="G14" s="189">
        <s:f>'04_Mode_Params'!$C$7*(1+'02_Inputs'!$D$16)^(4-1)</s:f>
        <s:v/>
      </s:c>
      <s:c r="H14" s="189">
        <s:f>'04_Mode_Params'!$C$7*(1+'02_Inputs'!$D$16)^(5-1)</s:f>
        <s:v/>
      </s:c>
      <s:c r="I14" s="189">
        <s:f>'04_Mode_Params'!$C$7*(1+'02_Inputs'!$D$16)^(6-1)</s:f>
        <s:v/>
      </s:c>
      <s:c r="J14" s="189">
        <s:f>'04_Mode_Params'!$C$7*(1+'02_Inputs'!$D$16)^(7-1)</s:f>
        <s:v/>
      </s:c>
      <s:c r="K14" s="189">
        <s:f>'04_Mode_Params'!$C$7*(1+'02_Inputs'!$D$16)^(8-1)</s:f>
        <s:v/>
      </s:c>
      <s:c r="L14" s="189">
        <s:f>'04_Mode_Params'!$C$7*(1+'02_Inputs'!$D$16)^(9-1)</s:f>
        <s:v/>
      </s:c>
      <s:c r="M14" s="189">
        <s:f>'04_Mode_Params'!$C$7*(1+'02_Inputs'!$D$16)^(10-1)</s:f>
        <s:v/>
      </s:c>
    </s:row>
    <s:row r="15">
      <s:c r="A15" s="45" t="inlineStr">
        <s:is>
          <s:t>能源托管/EMC｜服务商</s:t>
        </s:is>
      </s:c>
      <s:c r="B15" s="45" t="inlineStr">
        <s:is>
          <s:t>资产转让收入</s:t>
        </s:is>
      </s:c>
      <s:c r="C15" s="189">
        <s:f>0</s:f>
        <s:v/>
      </s:c>
      <s:c r="D15" s="189">
        <s:f>IF(AND(1='02_Inputs'!$D$26,1&gt;0),'02_Inputs'!$D$27,0)</s:f>
        <s:v/>
      </s:c>
      <s:c r="E15" s="189">
        <s:f>IF(AND(2='02_Inputs'!$D$26,2&gt;0),'02_Inputs'!$D$27,0)</s:f>
        <s:v/>
      </s:c>
      <s:c r="F15" s="189">
        <s:f>IF(AND(3='02_Inputs'!$D$26,3&gt;0),'02_Inputs'!$D$27,0)</s:f>
        <s:v/>
      </s:c>
      <s:c r="G15" s="189">
        <s:f>IF(AND(4='02_Inputs'!$D$26,4&gt;0),'02_Inputs'!$D$27,0)</s:f>
        <s:v/>
      </s:c>
      <s:c r="H15" s="189">
        <s:f>IF(AND(5='02_Inputs'!$D$26,5&gt;0),'02_Inputs'!$D$27,0)</s:f>
        <s:v/>
      </s:c>
      <s:c r="I15" s="189">
        <s:f>IF(AND(6='02_Inputs'!$D$26,6&gt;0),'02_Inputs'!$D$27,0)</s:f>
        <s:v/>
      </s:c>
      <s:c r="J15" s="189">
        <s:f>IF(AND(7='02_Inputs'!$D$26,7&gt;0),'02_Inputs'!$D$27,0)</s:f>
        <s:v/>
      </s:c>
      <s:c r="K15" s="189">
        <s:f>IF(AND(8='02_Inputs'!$D$26,8&gt;0),'02_Inputs'!$D$27,0)</s:f>
        <s:v/>
      </s:c>
      <s:c r="L15" s="189">
        <s:f>IF(AND(9='02_Inputs'!$D$26,9&gt;0),'02_Inputs'!$D$27,0)</s:f>
        <s:v/>
      </s:c>
      <s:c r="M15" s="189">
        <s:f>IF(AND(10='02_Inputs'!$D$26,10&gt;0),'02_Inputs'!$D$27,0)</s:f>
        <s:v/>
      </s:c>
    </s:row>
    <s:row r="16">
      <s:c r="A16" s="45" t="inlineStr">
        <s:is>
          <s:t>能源托管/EMC｜服务商</s:t>
        </s:is>
      </s:c>
      <s:c r="B16" s="45" t="inlineStr">
        <s:is>
          <s:t>节电后电费总额</s:t>
        </s:is>
      </s:c>
      <s:c r="C16" s="189">
        <s:f>0</s:f>
        <s:v/>
      </s:c>
      <s:c r="D16" s="189">
        <s:f>D6*(1-'04_Mode_Params'!$C$8)</s:f>
        <s:v/>
      </s:c>
      <s:c r="E16" s="189">
        <s:f>E6*(1-'04_Mode_Params'!$C$8)</s:f>
        <s:v/>
      </s:c>
      <s:c r="F16" s="189">
        <s:f>F6*(1-'04_Mode_Params'!$C$8)</s:f>
        <s:v/>
      </s:c>
      <s:c r="G16" s="189">
        <s:f>G6*(1-'04_Mode_Params'!$C$8)</s:f>
        <s:v/>
      </s:c>
      <s:c r="H16" s="189">
        <s:f>H6*(1-'04_Mode_Params'!$C$8)</s:f>
        <s:v/>
      </s:c>
      <s:c r="I16" s="189">
        <s:f>I6*(1-'04_Mode_Params'!$C$8)</s:f>
        <s:v/>
      </s:c>
      <s:c r="J16" s="189">
        <s:f>J6*(1-'04_Mode_Params'!$C$8)</s:f>
        <s:v/>
      </s:c>
      <s:c r="K16" s="189">
        <s:f>K6*(1-'04_Mode_Params'!$C$8)</s:f>
        <s:v/>
      </s:c>
      <s:c r="L16" s="189">
        <s:f>L6*(1-'04_Mode_Params'!$C$8)</s:f>
        <s:v/>
      </s:c>
      <s:c r="M16" s="189">
        <s:f>M6*(1-'04_Mode_Params'!$C$8)</s:f>
        <s:v/>
      </s:c>
    </s:row>
    <s:row r="17">
      <s:c r="A17" s="45" t="inlineStr">
        <s:is>
          <s:t>能源托管/EMC｜服务商</s:t>
        </s:is>
      </s:c>
      <s:c r="B17" s="45" t="inlineStr">
        <s:is>
          <s:t>服务商承担电费成本（正数，扣减）</s:t>
        </s:is>
      </s:c>
      <s:c r="C17" s="173">
        <s:f>0</s:f>
        <s:v/>
      </s:c>
      <s:c r="D17" s="173">
        <s:f>D16*'04_Mode_Params'!$C$10</s:f>
        <s:v/>
      </s:c>
      <s:c r="E17" s="173">
        <s:f>E16*'04_Mode_Params'!$C$10</s:f>
        <s:v/>
      </s:c>
      <s:c r="F17" s="173">
        <s:f>F16*'04_Mode_Params'!$C$10</s:f>
        <s:v/>
      </s:c>
      <s:c r="G17" s="173">
        <s:f>G16*'04_Mode_Params'!$C$10</s:f>
        <s:v/>
      </s:c>
      <s:c r="H17" s="173">
        <s:f>H16*'04_Mode_Params'!$C$10</s:f>
        <s:v/>
      </s:c>
      <s:c r="I17" s="173">
        <s:f>I16*'04_Mode_Params'!$C$10</s:f>
        <s:v/>
      </s:c>
      <s:c r="J17" s="173">
        <s:f>J16*'04_Mode_Params'!$C$10</s:f>
        <s:v/>
      </s:c>
      <s:c r="K17" s="173">
        <s:f>K16*'04_Mode_Params'!$C$10</s:f>
        <s:v/>
      </s:c>
      <s:c r="L17" s="173">
        <s:f>L16*'04_Mode_Params'!$C$10</s:f>
        <s:v/>
      </s:c>
      <s:c r="M17" s="173">
        <s:f>M16*'04_Mode_Params'!$C$10</s:f>
        <s:v/>
      </s:c>
    </s:row>
    <s:row r="18">
      <s:c r="A18" s="45" t="inlineStr">
        <s:is>
          <s:t>能源托管/EMC｜服务商</s:t>
        </s:is>
      </s:c>
      <s:c r="B18" s="45" t="inlineStr">
        <s:is>
          <s:t>运维成本（正数，扣减）</s:t>
        </s:is>
      </s:c>
      <s:c r="C18" s="173">
        <s:f>0</s:f>
        <s:v/>
      </s:c>
      <s:c r="D18" s="173">
        <s:f>'04_Mode_Params'!$C$13*(1+'02_Inputs'!$D$15)^(1-1)</s:f>
        <s:v/>
      </s:c>
      <s:c r="E18" s="173">
        <s:f>'04_Mode_Params'!$C$13*(1+'02_Inputs'!$D$15)^(2-1)</s:f>
        <s:v/>
      </s:c>
      <s:c r="F18" s="173">
        <s:f>'04_Mode_Params'!$C$13*(1+'02_Inputs'!$D$15)^(3-1)</s:f>
        <s:v/>
      </s:c>
      <s:c r="G18" s="173">
        <s:f>'04_Mode_Params'!$C$13*(1+'02_Inputs'!$D$15)^(4-1)</s:f>
        <s:v/>
      </s:c>
      <s:c r="H18" s="173">
        <s:f>'04_Mode_Params'!$C$13*(1+'02_Inputs'!$D$15)^(5-1)</s:f>
        <s:v/>
      </s:c>
      <s:c r="I18" s="173">
        <s:f>'04_Mode_Params'!$C$13*(1+'02_Inputs'!$D$15)^(6-1)</s:f>
        <s:v/>
      </s:c>
      <s:c r="J18" s="173">
        <s:f>'04_Mode_Params'!$C$13*(1+'02_Inputs'!$D$15)^(7-1)</s:f>
        <s:v/>
      </s:c>
      <s:c r="K18" s="173">
        <s:f>'04_Mode_Params'!$C$13*(1+'02_Inputs'!$D$15)^(8-1)</s:f>
        <s:v/>
      </s:c>
      <s:c r="L18" s="173">
        <s:f>'04_Mode_Params'!$C$13*(1+'02_Inputs'!$D$15)^(9-1)</s:f>
        <s:v/>
      </s:c>
      <s:c r="M18" s="173">
        <s:f>'04_Mode_Params'!$C$13*(1+'02_Inputs'!$D$15)^(10-1)</s:f>
        <s:v/>
      </s:c>
    </s:row>
    <s:row r="19">
      <s:c r="A19" s="45" t="inlineStr">
        <s:is>
          <s:t>能源托管/EMC｜服务商</s:t>
        </s:is>
      </s:c>
      <s:c r="B19" s="45" t="inlineStr">
        <s:is>
          <s:t>平台/管理成本（正数，扣减）</s:t>
        </s:is>
      </s:c>
      <s:c r="C19" s="173">
        <s:f>0</s:f>
        <s:v/>
      </s:c>
      <s:c r="D19" s="173">
        <s:f>'04_Mode_Params'!$C$14*(1+'02_Inputs'!$D$15)^(1-1)</s:f>
        <s:v/>
      </s:c>
      <s:c r="E19" s="173">
        <s:f>'04_Mode_Params'!$C$14*(1+'02_Inputs'!$D$15)^(2-1)</s:f>
        <s:v/>
      </s:c>
      <s:c r="F19" s="173">
        <s:f>'04_Mode_Params'!$C$14*(1+'02_Inputs'!$D$15)^(3-1)</s:f>
        <s:v/>
      </s:c>
      <s:c r="G19" s="173">
        <s:f>'04_Mode_Params'!$C$14*(1+'02_Inputs'!$D$15)^(4-1)</s:f>
        <s:v/>
      </s:c>
      <s:c r="H19" s="173">
        <s:f>'04_Mode_Params'!$C$14*(1+'02_Inputs'!$D$15)^(5-1)</s:f>
        <s:v/>
      </s:c>
      <s:c r="I19" s="173">
        <s:f>'04_Mode_Params'!$C$14*(1+'02_Inputs'!$D$15)^(6-1)</s:f>
        <s:v/>
      </s:c>
      <s:c r="J19" s="173">
        <s:f>'04_Mode_Params'!$C$14*(1+'02_Inputs'!$D$15)^(7-1)</s:f>
        <s:v/>
      </s:c>
      <s:c r="K19" s="173">
        <s:f>'04_Mode_Params'!$C$14*(1+'02_Inputs'!$D$15)^(8-1)</s:f>
        <s:v/>
      </s:c>
      <s:c r="L19" s="173">
        <s:f>'04_Mode_Params'!$C$14*(1+'02_Inputs'!$D$15)^(9-1)</s:f>
        <s:v/>
      </s:c>
      <s:c r="M19" s="173">
        <s:f>'04_Mode_Params'!$C$14*(1+'02_Inputs'!$D$15)^(10-1)</s:f>
        <s:v/>
      </s:c>
    </s:row>
    <s:row r="20">
      <s:c r="A20" s="45" t="inlineStr">
        <s:is>
          <s:t>能源托管/EMC｜服务商</s:t>
        </s:is>
      </s:c>
      <s:c r="B20" s="45" t="inlineStr">
        <s:is>
          <s:t>备件/小改造储备（正数，扣减）</s:t>
        </s:is>
      </s:c>
      <s:c r="C20" s="173">
        <s:f>0</s:f>
        <s:v/>
      </s:c>
      <s:c r="D20" s="173">
        <s:f>'04_Mode_Params'!$C$15*(1+'02_Inputs'!$D$15)^(1-1)</s:f>
        <s:v/>
      </s:c>
      <s:c r="E20" s="173">
        <s:f>'04_Mode_Params'!$C$15*(1+'02_Inputs'!$D$15)^(2-1)</s:f>
        <s:v/>
      </s:c>
      <s:c r="F20" s="173">
        <s:f>'04_Mode_Params'!$C$15*(1+'02_Inputs'!$D$15)^(3-1)</s:f>
        <s:v/>
      </s:c>
      <s:c r="G20" s="173">
        <s:f>'04_Mode_Params'!$C$15*(1+'02_Inputs'!$D$15)^(4-1)</s:f>
        <s:v/>
      </s:c>
      <s:c r="H20" s="173">
        <s:f>'04_Mode_Params'!$C$15*(1+'02_Inputs'!$D$15)^(5-1)</s:f>
        <s:v/>
      </s:c>
      <s:c r="I20" s="173">
        <s:f>'04_Mode_Params'!$C$15*(1+'02_Inputs'!$D$15)^(6-1)</s:f>
        <s:v/>
      </s:c>
      <s:c r="J20" s="173">
        <s:f>'04_Mode_Params'!$C$15*(1+'02_Inputs'!$D$15)^(7-1)</s:f>
        <s:v/>
      </s:c>
      <s:c r="K20" s="173">
        <s:f>'04_Mode_Params'!$C$15*(1+'02_Inputs'!$D$15)^(8-1)</s:f>
        <s:v/>
      </s:c>
      <s:c r="L20" s="173">
        <s:f>'04_Mode_Params'!$C$15*(1+'02_Inputs'!$D$15)^(9-1)</s:f>
        <s:v/>
      </s:c>
      <s:c r="M20" s="173">
        <s:f>'04_Mode_Params'!$C$15*(1+'02_Inputs'!$D$15)^(10-1)</s:f>
        <s:v/>
      </s:c>
    </s:row>
    <s:row r="21">
      <s:c r="A21" s="112" t="inlineStr">
        <s:is>
          <s:t>能源托管/EMC｜服务商</s:t>
        </s:is>
      </s:c>
      <s:c r="B21" s="112" t="inlineStr">
        <s:is>
          <s:t>年度总收入</s:t>
        </s:is>
      </s:c>
      <s:c r="C21" s="191">
        <s:f>0</s:f>
        <s:v/>
      </s:c>
      <s:c r="D21" s="191">
        <s:f>D13+D14+D15</s:f>
        <s:v/>
      </s:c>
      <s:c r="E21" s="191">
        <s:f>E13+E14+E15</s:f>
        <s:v/>
      </s:c>
      <s:c r="F21" s="191">
        <s:f>F13+F14+F15</s:f>
        <s:v/>
      </s:c>
      <s:c r="G21" s="191">
        <s:f>G13+G14+G15</s:f>
        <s:v/>
      </s:c>
      <s:c r="H21" s="191">
        <s:f>H13+H14+H15</s:f>
        <s:v/>
      </s:c>
      <s:c r="I21" s="191">
        <s:f>I13+I14+I15</s:f>
        <s:v/>
      </s:c>
      <s:c r="J21" s="191">
        <s:f>J13+J14+J15</s:f>
        <s:v/>
      </s:c>
      <s:c r="K21" s="191">
        <s:f>K13+K14+K15</s:f>
        <s:v/>
      </s:c>
      <s:c r="L21" s="191">
        <s:f>L13+L14+L15</s:f>
        <s:v/>
      </s:c>
      <s:c r="M21" s="191">
        <s:f>M13+M14+M15</s:f>
        <s:v/>
      </s:c>
    </s:row>
    <s:row r="22">
      <s:c r="A22" s="112" t="inlineStr">
        <s:is>
          <s:t>能源托管/EMC｜服务商</s:t>
        </s:is>
      </s:c>
      <s:c r="B22" s="112" t="inlineStr">
        <s:is>
          <s:t>年度总现金成本</s:t>
        </s:is>
      </s:c>
      <s:c r="C22" s="191">
        <s:f>C12</s:f>
        <s:v/>
      </s:c>
      <s:c r="D22" s="191">
        <s:f>D12+D17+D18+D19+D20</s:f>
        <s:v/>
      </s:c>
      <s:c r="E22" s="191">
        <s:f>E12+E17+E18+E19+E20</s:f>
        <s:v/>
      </s:c>
      <s:c r="F22" s="191">
        <s:f>F12+F17+F18+F19+F20</s:f>
        <s:v/>
      </s:c>
      <s:c r="G22" s="191">
        <s:f>G12+G17+G18+G19+G20</s:f>
        <s:v/>
      </s:c>
      <s:c r="H22" s="191">
        <s:f>H12+H17+H18+H19+H20</s:f>
        <s:v/>
      </s:c>
      <s:c r="I22" s="191">
        <s:f>I12+I17+I18+I19+I20</s:f>
        <s:v/>
      </s:c>
      <s:c r="J22" s="191">
        <s:f>J12+J17+J18+J19+J20</s:f>
        <s:v/>
      </s:c>
      <s:c r="K22" s="191">
        <s:f>K12+K17+K18+K19+K20</s:f>
        <s:v/>
      </s:c>
      <s:c r="L22" s="191">
        <s:f>L12+L17+L18+L19+L20</s:f>
        <s:v/>
      </s:c>
      <s:c r="M22" s="191">
        <s:f>M12+M17+M18+M19+M20</s:f>
        <s:v/>
      </s:c>
    </s:row>
    <s:row r="23">
      <s:c r="A23" s="112" t="inlineStr">
        <s:is>
          <s:t>能源托管/EMC｜服务商</s:t>
        </s:is>
      </s:c>
      <s:c r="B23" s="112" t="inlineStr">
        <s:is>
          <s:t>年度净现金流</s:t>
        </s:is>
      </s:c>
      <s:c r="C23" s="191">
        <s:f>C21-C22</s:f>
        <s:v/>
      </s:c>
      <s:c r="D23" s="191">
        <s:f>D21-D22</s:f>
        <s:v/>
      </s:c>
      <s:c r="E23" s="191">
        <s:f>E21-E22</s:f>
        <s:v/>
      </s:c>
      <s:c r="F23" s="191">
        <s:f>F21-F22</s:f>
        <s:v/>
      </s:c>
      <s:c r="G23" s="191">
        <s:f>G21-G22</s:f>
        <s:v/>
      </s:c>
      <s:c r="H23" s="191">
        <s:f>H21-H22</s:f>
        <s:v/>
      </s:c>
      <s:c r="I23" s="191">
        <s:f>I21-I22</s:f>
        <s:v/>
      </s:c>
      <s:c r="J23" s="191">
        <s:f>J21-J22</s:f>
        <s:v/>
      </s:c>
      <s:c r="K23" s="191">
        <s:f>K21-K22</s:f>
        <s:v/>
      </s:c>
      <s:c r="L23" s="191">
        <s:f>L21-L22</s:f>
        <s:v/>
      </s:c>
      <s:c r="M23" s="191">
        <s:f>M21-M22</s:f>
        <s:v/>
      </s:c>
    </s:row>
    <s:row r="24">
      <s:c r="A24" s="112" t="inlineStr">
        <s:is>
          <s:t>能源托管/EMC｜服务商</s:t>
        </s:is>
      </s:c>
      <s:c r="B24" s="112" t="inlineStr">
        <s:is>
          <s:t>累计现金流</s:t>
        </s:is>
      </s:c>
      <s:c r="C24" s="191">
        <s:f>C23</s:f>
        <s:v/>
      </s:c>
      <s:c r="D24" s="191">
        <s:f>C24+D23</s:f>
        <s:v/>
      </s:c>
      <s:c r="E24" s="191">
        <s:f>D24+E23</s:f>
        <s:v/>
      </s:c>
      <s:c r="F24" s="191">
        <s:f>E24+F23</s:f>
        <s:v/>
      </s:c>
      <s:c r="G24" s="191">
        <s:f>F24+G23</s:f>
        <s:v/>
      </s:c>
      <s:c r="H24" s="191">
        <s:f>G24+H23</s:f>
        <s:v/>
      </s:c>
      <s:c r="I24" s="191">
        <s:f>H24+I23</s:f>
        <s:v/>
      </s:c>
      <s:c r="J24" s="191">
        <s:f>I24+J23</s:f>
        <s:v/>
      </s:c>
      <s:c r="K24" s="191">
        <s:f>J24+K23</s:f>
        <s:v/>
      </s:c>
      <s:c r="L24" s="191">
        <s:f>K24+L23</s:f>
        <s:v/>
      </s:c>
      <s:c r="M24" s="191">
        <s:f>L24+M23</s:f>
        <s:v>6711160.0</s:v>
      </s:c>
    </s:row>
    <s:row r="25">
      <s:c r="A25" s="45" t="inlineStr">
        <s:is>
          <s:t>能源托管/EMC｜服务商</s:t>
        </s:is>
      </s:c>
      <s:c r="B25" s="45" t="inlineStr">
        <s:is>
          <s:t>NPV</s:t>
        </s:is>
      </s:c>
      <s:c r="C25" s="192">
        <s:f>NPV('02_Inputs'!$D$13,D23:M23)+C23</s:f>
        <s:v>2947410.4186040126</s:v>
      </s:c>
      <s:c r="D25" s="189" t="n"/>
      <s:c r="E25" s="189" t="n"/>
      <s:c r="F25" s="189" t="n"/>
      <s:c r="G25" s="189" t="n"/>
      <s:c r="H25" s="189" t="n"/>
      <s:c r="I25" s="189" t="n"/>
      <s:c r="J25" s="189" t="n"/>
      <s:c r="K25" s="189" t="n"/>
      <s:c r="L25" s="189" t="n"/>
      <s:c r="M25" s="189" t="n"/>
    </s:row>
    <s:row r="26">
      <s:c r="A26" s="45" t="inlineStr">
        <s:is>
          <s:t>能源托管/EMC｜服务商</s:t>
        </s:is>
      </s:c>
      <s:c r="B26" s="45" t="inlineStr">
        <s:is>
          <s:t>IRR</s:t>
        </s:is>
      </s:c>
      <s:c r="C26" s="193">
        <s:f>IFERROR(IRR(C23:M23),"n/a")</s:f>
        <s:v>0.2611609229291165</s:v>
      </s:c>
      <s:c r="D26" s="194" t="n"/>
      <s:c r="E26" s="194" t="n"/>
      <s:c r="F26" s="194" t="n"/>
      <s:c r="G26" s="194" t="n"/>
      <s:c r="H26" s="194" t="n"/>
      <s:c r="I26" s="194" t="n"/>
      <s:c r="J26" s="194" t="n"/>
      <s:c r="K26" s="194" t="n"/>
      <s:c r="L26" s="194" t="n"/>
      <s:c r="M26" s="194" t="n"/>
    </s:row>
    <s:row r="27">
      <s:c r="A27" s="45" t="inlineStr">
        <s:is>
          <s:t>能源托管/EMC｜服务商</s:t>
        </s:is>
      </s:c>
      <s:c r="B27" s="45" t="inlineStr">
        <s:is>
          <s:t>10年ROI</s:t>
        </s:is>
      </s:c>
      <s:c r="C27" s="195">
        <s:f>IF(C12=0,"n/a",SUM(C23:M23)/C12)</s:f>
        <s:v>2.8961292874498503</s:v>
      </s:c>
      <s:c r="D27" s="194" t="n"/>
      <s:c r="E27" s="194" t="n"/>
      <s:c r="F27" s="194" t="n"/>
      <s:c r="G27" s="194" t="n"/>
      <s:c r="H27" s="194" t="n"/>
      <s:c r="I27" s="194" t="n"/>
      <s:c r="J27" s="194" t="n"/>
      <s:c r="K27" s="194" t="n"/>
      <s:c r="L27" s="194" t="n"/>
      <s:c r="M27" s="194" t="n"/>
    </s:row>
    <s:row r="28">
      <s:c r="A28" s="45" t="inlineStr">
        <s:is>
          <s:t>能源托管/EMC｜服务商</s:t>
        </s:is>
      </s:c>
      <s:c r="B28" s="45" t="inlineStr">
        <s:is>
          <s:t>静态回收期</s:t>
        </s:is>
      </s:c>
      <s:c r="C28" s="196">
        <s:f>IF(M24&lt;0,"未回收",IF(C24&gt;=0,C$4,IF(D24&gt;=0,D$4,IF(E24&gt;=0,E$4,IF(F24&gt;=0,F$4,IF(G24&gt;=0,G$4,IF(H24&gt;=0,H$4,IF(I24&gt;=0,I$4,IF(J24&gt;=0,J$4,IF(K24&gt;=0,K$4,IF(L24&gt;=0,L$4,M$4)))))))))))</s:f>
        <s:v/>
      </s:c>
      <s:c r="D28" s="197" t="n"/>
      <s:c r="E28" s="197" t="n"/>
      <s:c r="F28" s="197" t="n"/>
      <s:c r="G28" s="197" t="n"/>
      <s:c r="H28" s="197" t="n"/>
      <s:c r="I28" s="197" t="n"/>
      <s:c r="J28" s="197" t="n"/>
      <s:c r="K28" s="197" t="n"/>
      <s:c r="L28" s="197" t="n"/>
      <s:c r="M28" s="197" t="n"/>
    </s:row>
    <s:row r="29">
      <s:c r="A29" s="45" t="str"/>
      <s:c r="B29" s="45" t="str"/>
      <s:c r="C29" s="189" t="n"/>
      <s:c r="D29" s="189" t="n"/>
      <s:c r="E29" s="189" t="n"/>
      <s:c r="F29" s="189" t="n"/>
      <s:c r="G29" s="189" t="n"/>
      <s:c r="H29" s="189" t="n"/>
      <s:c r="I29" s="189" t="n"/>
      <s:c r="J29" s="189" t="n"/>
      <s:c r="K29" s="189" t="n"/>
      <s:c r="L29" s="189" t="n"/>
      <s:c r="M29" s="189" t="n"/>
    </s:row>
    <s:row r="30">
      <s:c r="A30" s="50" t="inlineStr">
        <s:is>
          <s:t>C. 能源托管/EMC｜业主侧</s:t>
        </s:is>
      </s:c>
      <s:c r="B30" s="50" t="str"/>
      <s:c r="C30" s="190" t="n"/>
      <s:c r="D30" s="190" t="n"/>
      <s:c r="E30" s="190" t="n"/>
      <s:c r="F30" s="190" t="n"/>
      <s:c r="G30" s="190" t="n"/>
      <s:c r="H30" s="190" t="n"/>
      <s:c r="I30" s="190" t="n"/>
      <s:c r="J30" s="190" t="n"/>
      <s:c r="K30" s="190" t="n"/>
      <s:c r="L30" s="190" t="n"/>
      <s:c r="M30" s="190" t="n"/>
    </s:row>
    <s:row r="31">
      <s:c r="A31" s="45" t="inlineStr">
        <s:is>
          <s:t>能源托管/EMC｜业主</s:t>
        </s:is>
      </s:c>
      <s:c r="B31" s="45" t="inlineStr">
        <s:is>
          <s:t>业主支付电费</s:t>
        </s:is>
      </s:c>
      <s:c r="C31" s="189">
        <s:f>0</s:f>
        <s:v/>
      </s:c>
      <s:c r="D31" s="189">
        <s:f>D16*(1-'04_Mode_Params'!$C$10)</s:f>
        <s:v>1028000.0</s:v>
      </s:c>
      <s:c r="E31" s="189">
        <s:f>E16*(1-'04_Mode_Params'!$C$10)</s:f>
        <s:v>1028000.0</s:v>
      </s:c>
      <s:c r="F31" s="189">
        <s:f>F16*(1-'04_Mode_Params'!$C$10)</s:f>
        <s:v>1028000.0</s:v>
      </s:c>
      <s:c r="G31" s="189">
        <s:f>G16*(1-'04_Mode_Params'!$C$10)</s:f>
        <s:v>1028000.0</s:v>
      </s:c>
      <s:c r="H31" s="189">
        <s:f>H16*(1-'04_Mode_Params'!$C$10)</s:f>
        <s:v>1028000.0</s:v>
      </s:c>
      <s:c r="I31" s="189">
        <s:f>I16*(1-'04_Mode_Params'!$C$10)</s:f>
        <s:v>1028000.0</s:v>
      </s:c>
      <s:c r="J31" s="189">
        <s:f>J16*(1-'04_Mode_Params'!$C$10)</s:f>
        <s:v>1028000.0</s:v>
      </s:c>
      <s:c r="K31" s="189">
        <s:f>K16*(1-'04_Mode_Params'!$C$10)</s:f>
        <s:v>1028000.0</s:v>
      </s:c>
      <s:c r="L31" s="189">
        <s:f>L16*(1-'04_Mode_Params'!$C$10)</s:f>
        <s:v>1028000.0</s:v>
      </s:c>
      <s:c r="M31" s="189">
        <s:f>M16*(1-'04_Mode_Params'!$C$10)</s:f>
        <s:v>1028000.0</s:v>
      </s:c>
    </s:row>
    <s:row r="32">
      <s:c r="A32" s="45" t="inlineStr">
        <s:is>
          <s:t>能源托管/EMC｜业主</s:t>
        </s:is>
      </s:c>
      <s:c r="B32" s="45" t="inlineStr">
        <s:is>
          <s:t>固定服务费支出</s:t>
        </s:is>
      </s:c>
      <s:c r="C32" s="189">
        <s:f>0</s:f>
        <s:v/>
      </s:c>
      <s:c r="D32" s="189">
        <s:f>D13</s:f>
        <s:v>1635056.0</s:v>
      </s:c>
      <s:c r="E32" s="189">
        <s:f>E13</s:f>
        <s:v>1635056.0</s:v>
      </s:c>
      <s:c r="F32" s="189">
        <s:f>F13</s:f>
        <s:v>1635056.0</s:v>
      </s:c>
      <s:c r="G32" s="189">
        <s:f>G13</s:f>
        <s:v>1635056.0</s:v>
      </s:c>
      <s:c r="H32" s="189">
        <s:f>H13</s:f>
        <s:v>1635056.0</s:v>
      </s:c>
      <s:c r="I32" s="189">
        <s:f>I13</s:f>
        <s:v>1635056.0</s:v>
      </s:c>
      <s:c r="J32" s="189">
        <s:f>J13</s:f>
        <s:v>1635056.0</s:v>
      </s:c>
      <s:c r="K32" s="189">
        <s:f>K13</s:f>
        <s:v>1635056.0</s:v>
      </s:c>
      <s:c r="L32" s="189">
        <s:f>L13</s:f>
        <s:v>1635056.0</s:v>
      </s:c>
      <s:c r="M32" s="189">
        <s:f>M13</s:f>
        <s:v>1635056.0</s:v>
      </s:c>
    </s:row>
    <s:row r="33">
      <s:c r="A33" s="45" t="inlineStr">
        <s:is>
          <s:t>能源托管/EMC｜业主</s:t>
        </s:is>
      </s:c>
      <s:c r="B33" s="45" t="inlineStr">
        <s:is>
          <s:t>业主保留管理成本</s:t>
        </s:is>
      </s:c>
      <s:c r="C33" s="189">
        <s:f>0</s:f>
        <s:v/>
      </s:c>
      <s:c r="D33" s="189">
        <s:f>'02_Inputs'!$D$17*(1+'02_Inputs'!$D$15)^(1-1)</s:f>
        <s:v/>
      </s:c>
      <s:c r="E33" s="189">
        <s:f>'02_Inputs'!$D$17*(1+'02_Inputs'!$D$15)^(2-1)</s:f>
        <s:v/>
      </s:c>
      <s:c r="F33" s="189">
        <s:f>'02_Inputs'!$D$17*(1+'02_Inputs'!$D$15)^(3-1)</s:f>
        <s:v/>
      </s:c>
      <s:c r="G33" s="189">
        <s:f>'02_Inputs'!$D$17*(1+'02_Inputs'!$D$15)^(4-1)</s:f>
        <s:v/>
      </s:c>
      <s:c r="H33" s="189">
        <s:f>'02_Inputs'!$D$17*(1+'02_Inputs'!$D$15)^(5-1)</s:f>
        <s:v/>
      </s:c>
      <s:c r="I33" s="189">
        <s:f>'02_Inputs'!$D$17*(1+'02_Inputs'!$D$15)^(6-1)</s:f>
        <s:v/>
      </s:c>
      <s:c r="J33" s="189">
        <s:f>'02_Inputs'!$D$17*(1+'02_Inputs'!$D$15)^(7-1)</s:f>
        <s:v/>
      </s:c>
      <s:c r="K33" s="189">
        <s:f>'02_Inputs'!$D$17*(1+'02_Inputs'!$D$15)^(8-1)</s:f>
        <s:v/>
      </s:c>
      <s:c r="L33" s="189">
        <s:f>'02_Inputs'!$D$17*(1+'02_Inputs'!$D$15)^(9-1)</s:f>
        <s:v/>
      </s:c>
      <s:c r="M33" s="189">
        <s:f>'02_Inputs'!$D$17*(1+'02_Inputs'!$D$15)^(10-1)</s:f>
        <s:v/>
      </s:c>
    </s:row>
    <s:row r="34">
      <s:c r="A34" s="112" t="inlineStr">
        <s:is>
          <s:t>能源托管/EMC｜业主</s:t>
        </s:is>
      </s:c>
      <s:c r="B34" s="112" t="inlineStr">
        <s:is>
          <s:t>业主年度总支出</s:t>
        </s:is>
      </s:c>
      <s:c r="C34" s="191">
        <s:f>0</s:f>
        <s:v/>
      </s:c>
      <s:c r="D34" s="191">
        <s:f>D31+D32+D33</s:f>
        <s:v>2663056.0</s:v>
      </s:c>
      <s:c r="E34" s="191">
        <s:f>E31+E32+E33</s:f>
        <s:v>2663056.0</s:v>
      </s:c>
      <s:c r="F34" s="191">
        <s:f>F31+F32+F33</s:f>
        <s:v>2663056.0</s:v>
      </s:c>
      <s:c r="G34" s="191">
        <s:f>G31+G32+G33</s:f>
        <s:v>2663056.0</s:v>
      </s:c>
      <s:c r="H34" s="191">
        <s:f>H31+H32+H33</s:f>
        <s:v>2663056.0</s:v>
      </s:c>
      <s:c r="I34" s="191">
        <s:f>I31+I32+I33</s:f>
        <s:v>2663056.0</s:v>
      </s:c>
      <s:c r="J34" s="191">
        <s:f>J31+J32+J33</s:f>
        <s:v>2663056.0</s:v>
      </s:c>
      <s:c r="K34" s="191">
        <s:f>K31+K32+K33</s:f>
        <s:v>2663056.0</s:v>
      </s:c>
      <s:c r="L34" s="191">
        <s:f>L31+L32+L33</s:f>
        <s:v>2663056.0</s:v>
      </s:c>
      <s:c r="M34" s="191">
        <s:f>M31+M32+M33</s:f>
        <s:v>2663056.0</s:v>
      </s:c>
    </s:row>
    <s:row r="35">
      <s:c r="A35" s="112" t="inlineStr">
        <s:is>
          <s:t>能源托管/EMC｜业主</s:t>
        </s:is>
      </s:c>
      <s:c r="B35" s="112" t="inlineStr">
        <s:is>
          <s:t>业主年度净节省</s:t>
        </s:is>
      </s:c>
      <s:c r="C35" s="191">
        <s:f>0</s:f>
        <s:v/>
      </s:c>
      <s:c r="D35" s="191">
        <s:f>D8-D34</s:f>
        <s:v>2944.0</s:v>
      </s:c>
      <s:c r="E35" s="191">
        <s:f>E8-E34</s:f>
        <s:v>2944.0</s:v>
      </s:c>
      <s:c r="F35" s="191">
        <s:f>F8-F34</s:f>
        <s:v>2944.0</s:v>
      </s:c>
      <s:c r="G35" s="191">
        <s:f>G8-G34</s:f>
        <s:v>2944.0</s:v>
      </s:c>
      <s:c r="H35" s="191">
        <s:f>H8-H34</s:f>
        <s:v>2944.0</s:v>
      </s:c>
      <s:c r="I35" s="191">
        <s:f>I8-I34</s:f>
        <s:v>2944.0</s:v>
      </s:c>
      <s:c r="J35" s="191">
        <s:f>J8-J34</s:f>
        <s:v>2944.0</s:v>
      </s:c>
      <s:c r="K35" s="191">
        <s:f>K8-K34</s:f>
        <s:v>2944.0</s:v>
      </s:c>
      <s:c r="L35" s="191">
        <s:f>L8-L34</s:f>
        <s:v>2944.0</s:v>
      </s:c>
      <s:c r="M35" s="191">
        <s:f>M8-M34</s:f>
        <s:v>2944.0</s:v>
      </s:c>
    </s:row>
    <s:row r="36">
      <s:c r="A36" s="45" t="inlineStr">
        <s:is>
          <s:t>能源托管/EMC｜业主</s:t>
        </s:is>
      </s:c>
      <s:c r="B36" s="45" t="inlineStr">
        <s:is>
          <s:t>业主节省率</s:t>
        </s:is>
      </s:c>
      <s:c r="C36" s="194">
        <s:f>0</s:f>
        <s:v/>
      </s:c>
      <s:c r="D36" s="194">
        <s:f>IF(D8=0,0,D35/D8)</s:f>
        <s:v/>
      </s:c>
      <s:c r="E36" s="194">
        <s:f>IF(E8=0,0,E35/E8)</s:f>
        <s:v/>
      </s:c>
      <s:c r="F36" s="194">
        <s:f>IF(F8=0,0,F35/F8)</s:f>
        <s:v/>
      </s:c>
      <s:c r="G36" s="194">
        <s:f>IF(G8=0,0,G35/G8)</s:f>
        <s:v/>
      </s:c>
      <s:c r="H36" s="194">
        <s:f>IF(H8=0,0,H35/H8)</s:f>
        <s:v/>
      </s:c>
      <s:c r="I36" s="194">
        <s:f>IF(I8=0,0,I35/I8)</s:f>
        <s:v/>
      </s:c>
      <s:c r="J36" s="194">
        <s:f>IF(J8=0,0,J35/J8)</s:f>
        <s:v/>
      </s:c>
      <s:c r="K36" s="194">
        <s:f>IF(K8=0,0,K35/K8)</s:f>
        <s:v/>
      </s:c>
      <s:c r="L36" s="194">
        <s:f>IF(L8=0,0,L35/L8)</s:f>
        <s:v/>
      </s:c>
      <s:c r="M36" s="194">
        <s:f>IF(M8=0,0,M35/M8)</s:f>
        <s:v/>
      </s:c>
    </s:row>
    <s:row r="37">
      <s:c r="A37" s="45" t="str"/>
      <s:c r="B37" s="45" t="str"/>
      <s:c r="C37" s="189" t="n"/>
      <s:c r="D37" s="189" t="n"/>
      <s:c r="E37" s="189" t="n"/>
      <s:c r="F37" s="189" t="n"/>
      <s:c r="G37" s="189" t="n"/>
      <s:c r="H37" s="189" t="n"/>
      <s:c r="I37" s="189" t="n"/>
      <s:c r="J37" s="189" t="n"/>
      <s:c r="K37" s="189" t="n"/>
      <s:c r="L37" s="189" t="n"/>
      <s:c r="M37" s="189" t="n"/>
    </s:row>
    <s:row r="38">
      <s:c r="A38" s="50" t="inlineStr">
        <s:is>
          <s:t>D. LaaS/AI订阅｜服务商现金流</s:t>
        </s:is>
      </s:c>
      <s:c r="B38" s="50" t="str"/>
      <s:c r="C38" s="190" t="n"/>
      <s:c r="D38" s="190" t="n"/>
      <s:c r="E38" s="190" t="n"/>
      <s:c r="F38" s="190" t="n"/>
      <s:c r="G38" s="190" t="n"/>
      <s:c r="H38" s="190" t="n"/>
      <s:c r="I38" s="190" t="n"/>
      <s:c r="J38" s="190" t="n"/>
      <s:c r="K38" s="190" t="n"/>
      <s:c r="L38" s="190" t="n"/>
      <s:c r="M38" s="190" t="n"/>
    </s:row>
    <s:row r="39">
      <s:c r="A39" s="45" t="inlineStr">
        <s:is>
          <s:t>LaaS/AI订阅｜服务商</s:t>
        </s:is>
      </s:c>
      <s:c r="B39" s="45" t="inlineStr">
        <s:is>
          <s:t>初始CAPEX支出（正数，扣减）</s:t>
        </s:is>
      </s:c>
      <s:c r="C39" s="173">
        <s:f>'04_Mode_Params'!$D$5</s:f>
        <s:v/>
      </s:c>
      <s:c r="D39" s="173">
        <s:f>0</s:f>
        <s:v/>
      </s:c>
      <s:c r="E39" s="173">
        <s:f>0</s:f>
        <s:v/>
      </s:c>
      <s:c r="F39" s="173">
        <s:f>0</s:f>
        <s:v/>
      </s:c>
      <s:c r="G39" s="173">
        <s:f>0</s:f>
        <s:v/>
      </s:c>
      <s:c r="H39" s="173">
        <s:f>0</s:f>
        <s:v/>
      </s:c>
      <s:c r="I39" s="173">
        <s:f>0</s:f>
        <s:v/>
      </s:c>
      <s:c r="J39" s="173">
        <s:f>0</s:f>
        <s:v/>
      </s:c>
      <s:c r="K39" s="173">
        <s:f>0</s:f>
        <s:v/>
      </s:c>
      <s:c r="L39" s="173">
        <s:f>0</s:f>
        <s:v/>
      </s:c>
      <s:c r="M39" s="173">
        <s:f>0</s:f>
        <s:v/>
      </s:c>
    </s:row>
    <s:row r="40">
      <s:c r="A40" s="45" t="inlineStr">
        <s:is>
          <s:t>LaaS/AI订阅｜服务商</s:t>
        </s:is>
      </s:c>
      <s:c r="B40" s="45" t="inlineStr">
        <s:is>
          <s:t>订阅收入</s:t>
        </s:is>
      </s:c>
      <s:c r="C40" s="189">
        <s:f>0</s:f>
        <s:v/>
      </s:c>
      <s:c r="D40" s="189">
        <s:f>MAX(0,('04_Mode_Params'!$D$6*(1+'02_Inputs'!$D$16)^(1-1))-('02_Inputs'!$D$45/'02_Inputs'!$D$5))</s:f>
        <s:v>2660000.0</s:v>
      </s:c>
      <s:c r="E40" s="189">
        <s:f>MAX(0,('04_Mode_Params'!$D$6*(1+'02_Inputs'!$D$16)^(2-1))-('02_Inputs'!$D$45/'02_Inputs'!$D$5))</s:f>
        <s:v>2660000.0</s:v>
      </s:c>
      <s:c r="F40" s="189">
        <s:f>MAX(0,('04_Mode_Params'!$D$6*(1+'02_Inputs'!$D$16)^(3-1))-('02_Inputs'!$D$45/'02_Inputs'!$D$5))</s:f>
        <s:v>2660000.0</s:v>
      </s:c>
      <s:c r="G40" s="189">
        <s:f>MAX(0,('04_Mode_Params'!$D$6*(1+'02_Inputs'!$D$16)^(4-1))-('02_Inputs'!$D$45/'02_Inputs'!$D$5))</s:f>
        <s:v>2660000.0</s:v>
      </s:c>
      <s:c r="H40" s="189">
        <s:f>MAX(0,('04_Mode_Params'!$D$6*(1+'02_Inputs'!$D$16)^(5-1))-('02_Inputs'!$D$45/'02_Inputs'!$D$5))</s:f>
        <s:v>2660000.0</s:v>
      </s:c>
      <s:c r="I40" s="189">
        <s:f>MAX(0,('04_Mode_Params'!$D$6*(1+'02_Inputs'!$D$16)^(6-1))-('02_Inputs'!$D$45/'02_Inputs'!$D$5))</s:f>
        <s:v>2660000.0</s:v>
      </s:c>
      <s:c r="J40" s="189">
        <s:f>MAX(0,MAX((('04_Mode_Params'!$D$6*(1+'02_Inputs'!$D$16)^(7-1))*0.2),('04_Mode_Params'!$D$6*(1+'02_Inputs'!$D$16)^(7-1))-'02_Inputs'!$D$46)-('02_Inputs'!$D$45/'02_Inputs'!$D$5))</s:f>
        <s:v>2660000.0</s:v>
      </s:c>
      <s:c r="K40" s="189">
        <s:f>MAX(0,MAX((('04_Mode_Params'!$D$6*(1+'02_Inputs'!$D$16)^(8-1))*0.2),('04_Mode_Params'!$D$6*(1+'02_Inputs'!$D$16)^(8-1))-'02_Inputs'!$D$46)-('02_Inputs'!$D$45/'02_Inputs'!$D$5))</s:f>
        <s:v>2660000.0</s:v>
      </s:c>
      <s:c r="L40" s="189">
        <s:f>MAX(0,MAX((('04_Mode_Params'!$D$6*(1+'02_Inputs'!$D$16)^(9-1))*0.2),('04_Mode_Params'!$D$6*(1+'02_Inputs'!$D$16)^(9-1))-'02_Inputs'!$D$46)-('02_Inputs'!$D$45/'02_Inputs'!$D$5))</s:f>
        <s:v>2660000.0</s:v>
      </s:c>
      <s:c r="M40" s="189">
        <s:f>MAX(0,MAX((('04_Mode_Params'!$D$6*(1+'02_Inputs'!$D$16)^(10-1))*0.2),('04_Mode_Params'!$D$6*(1+'02_Inputs'!$D$16)^(10-1))-'02_Inputs'!$D$46)-('02_Inputs'!$D$45/'02_Inputs'!$D$5))</s:f>
        <s:v>2660000.0</s:v>
      </s:c>
    </s:row>
    <s:row r="41">
      <s:c r="A41" s="45" t="inlineStr">
        <s:is>
          <s:t>LaaS/AI订阅｜服务商</s:t>
        </s:is>
      </s:c>
      <s:c r="B41" s="45" t="inlineStr">
        <s:is>
          <s:t>其他/第三方收入</s:t>
        </s:is>
      </s:c>
      <s:c r="C41" s="189">
        <s:f>'02_Inputs'!$D$45</s:f>
        <s:v/>
      </s:c>
      <s:c r="D41" s="189">
        <s:f>'04_Mode_Params'!$D$7*(1+'02_Inputs'!$D$16)^(1-1)</s:f>
        <s:v/>
      </s:c>
      <s:c r="E41" s="189">
        <s:f>'04_Mode_Params'!$D$7*(1+'02_Inputs'!$D$16)^(2-1)</s:f>
        <s:v/>
      </s:c>
      <s:c r="F41" s="189">
        <s:f>'04_Mode_Params'!$D$7*(1+'02_Inputs'!$D$16)^(3-1)</s:f>
        <s:v/>
      </s:c>
      <s:c r="G41" s="189">
        <s:f>'04_Mode_Params'!$D$7*(1+'02_Inputs'!$D$16)^(4-1)</s:f>
        <s:v/>
      </s:c>
      <s:c r="H41" s="189">
        <s:f>'04_Mode_Params'!$D$7*(1+'02_Inputs'!$D$16)^(5-1)</s:f>
        <s:v/>
      </s:c>
      <s:c r="I41" s="189">
        <s:f>'04_Mode_Params'!$D$7*(1+'02_Inputs'!$D$16)^(6-1)</s:f>
        <s:v/>
      </s:c>
      <s:c r="J41" s="189">
        <s:f>'04_Mode_Params'!$D$7*(1+'02_Inputs'!$D$16)^(7-1)</s:f>
        <s:v/>
      </s:c>
      <s:c r="K41" s="189">
        <s:f>'04_Mode_Params'!$D$7*(1+'02_Inputs'!$D$16)^(8-1)</s:f>
        <s:v/>
      </s:c>
      <s:c r="L41" s="189">
        <s:f>'04_Mode_Params'!$D$7*(1+'02_Inputs'!$D$16)^(9-1)</s:f>
        <s:v/>
      </s:c>
      <s:c r="M41" s="189">
        <s:f>'04_Mode_Params'!$D$7*(1+'02_Inputs'!$D$16)^(10-1)</s:f>
        <s:v/>
      </s:c>
    </s:row>
    <s:row r="42">
      <s:c r="A42" s="45" t="inlineStr">
        <s:is>
          <s:t>LaaS/AI订阅｜服务商</s:t>
        </s:is>
      </s:c>
      <s:c r="B42" s="45" t="inlineStr">
        <s:is>
          <s:t>资产转让收入</s:t>
        </s:is>
      </s:c>
      <s:c r="C42" s="189">
        <s:f>0</s:f>
        <s:v/>
      </s:c>
      <s:c r="D42" s="189">
        <s:f>IF(AND(1='02_Inputs'!$D$36,1&gt;0),'02_Inputs'!$D$37,0)</s:f>
        <s:v/>
      </s:c>
      <s:c r="E42" s="189">
        <s:f>IF(AND(2='02_Inputs'!$D$36,2&gt;0),'02_Inputs'!$D$37,0)</s:f>
        <s:v/>
      </s:c>
      <s:c r="F42" s="189">
        <s:f>IF(AND(3='02_Inputs'!$D$36,3&gt;0),'02_Inputs'!$D$37,0)</s:f>
        <s:v/>
      </s:c>
      <s:c r="G42" s="189">
        <s:f>IF(AND(4='02_Inputs'!$D$36,4&gt;0),'02_Inputs'!$D$37,0)</s:f>
        <s:v/>
      </s:c>
      <s:c r="H42" s="189">
        <s:f>IF(AND(5='02_Inputs'!$D$36,5&gt;0),'02_Inputs'!$D$37,0)</s:f>
        <s:v/>
      </s:c>
      <s:c r="I42" s="189">
        <s:f>IF(AND(6='02_Inputs'!$D$36,6&gt;0),'02_Inputs'!$D$37,0)</s:f>
        <s:v/>
      </s:c>
      <s:c r="J42" s="189">
        <s:f>IF(AND(7='02_Inputs'!$D$36,7&gt;0),'02_Inputs'!$D$37,0)</s:f>
        <s:v/>
      </s:c>
      <s:c r="K42" s="189">
        <s:f>IF(AND(8='02_Inputs'!$D$36,8&gt;0),'02_Inputs'!$D$37,0)</s:f>
        <s:v/>
      </s:c>
      <s:c r="L42" s="189">
        <s:f>IF(AND(9='02_Inputs'!$D$36,9&gt;0),'02_Inputs'!$D$37,0)</s:f>
        <s:v/>
      </s:c>
      <s:c r="M42" s="189">
        <s:f>IF(AND(10='02_Inputs'!$D$36,10&gt;0),'02_Inputs'!$D$37,0)</s:f>
        <s:v/>
      </s:c>
    </s:row>
    <s:row r="43">
      <s:c r="A43" s="45" t="inlineStr">
        <s:is>
          <s:t>LaaS/AI订阅｜服务商</s:t>
        </s:is>
      </s:c>
      <s:c r="B43" s="45" t="inlineStr">
        <s:is>
          <s:t>节电后电费总额</s:t>
        </s:is>
      </s:c>
      <s:c r="C43" s="189">
        <s:f>0</s:f>
        <s:v/>
      </s:c>
      <s:c r="D43" s="189">
        <s:f>D6*(1-'04_Mode_Params'!$D$8)</s:f>
        <s:v/>
      </s:c>
      <s:c r="E43" s="189">
        <s:f>E6*(1-'04_Mode_Params'!$D$8)</s:f>
        <s:v/>
      </s:c>
      <s:c r="F43" s="189">
        <s:f>F6*(1-'04_Mode_Params'!$D$8)</s:f>
        <s:v/>
      </s:c>
      <s:c r="G43" s="189">
        <s:f>G6*(1-'04_Mode_Params'!$D$8)</s:f>
        <s:v/>
      </s:c>
      <s:c r="H43" s="189">
        <s:f>H6*(1-'04_Mode_Params'!$D$8)</s:f>
        <s:v/>
      </s:c>
      <s:c r="I43" s="189">
        <s:f>I6*(1-'04_Mode_Params'!$D$8)</s:f>
        <s:v/>
      </s:c>
      <s:c r="J43" s="189">
        <s:f>J6*(1-'04_Mode_Params'!$D$8)</s:f>
        <s:v/>
      </s:c>
      <s:c r="K43" s="189">
        <s:f>K6*(1-'04_Mode_Params'!$D$8)</s:f>
        <s:v/>
      </s:c>
      <s:c r="L43" s="189">
        <s:f>L6*(1-'04_Mode_Params'!$D$8)</s:f>
        <s:v/>
      </s:c>
      <s:c r="M43" s="189">
        <s:f>M6*(1-'04_Mode_Params'!$D$8)</s:f>
        <s:v/>
      </s:c>
    </s:row>
    <s:row r="44">
      <s:c r="A44" s="45" t="inlineStr">
        <s:is>
          <s:t>LaaS/AI订阅｜服务商</s:t>
        </s:is>
      </s:c>
      <s:c r="B44" s="45" t="inlineStr">
        <s:is>
          <s:t>服务商承担电费成本（正数，扣减）</s:t>
        </s:is>
      </s:c>
      <s:c r="C44" s="173">
        <s:f>0</s:f>
        <s:v/>
      </s:c>
      <s:c r="D44" s="173">
        <s:f>D43*'04_Mode_Params'!$D$10</s:f>
        <s:v/>
      </s:c>
      <s:c r="E44" s="173">
        <s:f>E43*'04_Mode_Params'!$D$10</s:f>
        <s:v/>
      </s:c>
      <s:c r="F44" s="173">
        <s:f>F43*'04_Mode_Params'!$D$10</s:f>
        <s:v/>
      </s:c>
      <s:c r="G44" s="173">
        <s:f>G43*'04_Mode_Params'!$D$10</s:f>
        <s:v/>
      </s:c>
      <s:c r="H44" s="173">
        <s:f>H43*'04_Mode_Params'!$D$10</s:f>
        <s:v/>
      </s:c>
      <s:c r="I44" s="173">
        <s:f>I43*'04_Mode_Params'!$D$10</s:f>
        <s:v/>
      </s:c>
      <s:c r="J44" s="173">
        <s:f>J43*'04_Mode_Params'!$D$10</s:f>
        <s:v/>
      </s:c>
      <s:c r="K44" s="173">
        <s:f>K43*'04_Mode_Params'!$D$10</s:f>
        <s:v/>
      </s:c>
      <s:c r="L44" s="173">
        <s:f>L43*'04_Mode_Params'!$D$10</s:f>
        <s:v/>
      </s:c>
      <s:c r="M44" s="173">
        <s:f>M43*'04_Mode_Params'!$D$10</s:f>
        <s:v/>
      </s:c>
    </s:row>
    <s:row r="45">
      <s:c r="A45" s="45" t="inlineStr">
        <s:is>
          <s:t>LaaS/AI订阅｜服务商</s:t>
        </s:is>
      </s:c>
      <s:c r="B45" s="45" t="inlineStr">
        <s:is>
          <s:t>运维成本（正数，扣减）</s:t>
        </s:is>
      </s:c>
      <s:c r="C45" s="173">
        <s:f>0</s:f>
        <s:v/>
      </s:c>
      <s:c r="D45" s="173">
        <s:f>'04_Mode_Params'!$D$13*(1+'02_Inputs'!$D$15)^(1-1)</s:f>
        <s:v/>
      </s:c>
      <s:c r="E45" s="173">
        <s:f>'04_Mode_Params'!$D$13*(1+'02_Inputs'!$D$15)^(2-1)</s:f>
        <s:v/>
      </s:c>
      <s:c r="F45" s="173">
        <s:f>'04_Mode_Params'!$D$13*(1+'02_Inputs'!$D$15)^(3-1)</s:f>
        <s:v/>
      </s:c>
      <s:c r="G45" s="173">
        <s:f>'04_Mode_Params'!$D$13*(1+'02_Inputs'!$D$15)^(4-1)</s:f>
        <s:v/>
      </s:c>
      <s:c r="H45" s="173">
        <s:f>'04_Mode_Params'!$D$13*(1+'02_Inputs'!$D$15)^(5-1)</s:f>
        <s:v/>
      </s:c>
      <s:c r="I45" s="173">
        <s:f>'04_Mode_Params'!$D$13*(1+'02_Inputs'!$D$15)^(6-1)</s:f>
        <s:v/>
      </s:c>
      <s:c r="J45" s="173">
        <s:f>'04_Mode_Params'!$D$13*(1+'02_Inputs'!$D$15)^(7-1)</s:f>
        <s:v/>
      </s:c>
      <s:c r="K45" s="173">
        <s:f>'04_Mode_Params'!$D$13*(1+'02_Inputs'!$D$15)^(8-1)</s:f>
        <s:v/>
      </s:c>
      <s:c r="L45" s="173">
        <s:f>'04_Mode_Params'!$D$13*(1+'02_Inputs'!$D$15)^(9-1)</s:f>
        <s:v/>
      </s:c>
      <s:c r="M45" s="173">
        <s:f>'04_Mode_Params'!$D$13*(1+'02_Inputs'!$D$15)^(10-1)</s:f>
        <s:v/>
      </s:c>
    </s:row>
    <s:row r="46">
      <s:c r="A46" s="45" t="inlineStr">
        <s:is>
          <s:t>LaaS/AI订阅｜服务商</s:t>
        </s:is>
      </s:c>
      <s:c r="B46" s="45" t="inlineStr">
        <s:is>
          <s:t>平台/AI升级成本（正数，扣减）</s:t>
        </s:is>
      </s:c>
      <s:c r="C46" s="173">
        <s:f>0</s:f>
        <s:v/>
      </s:c>
      <s:c r="D46" s="173">
        <s:f>'04_Mode_Params'!$D$14*(1+'02_Inputs'!$D$15)^(1-1)</s:f>
        <s:v/>
      </s:c>
      <s:c r="E46" s="173">
        <s:f>'04_Mode_Params'!$D$14*(1+'02_Inputs'!$D$15)^(2-1)</s:f>
        <s:v/>
      </s:c>
      <s:c r="F46" s="173">
        <s:f>'04_Mode_Params'!$D$14*(1+'02_Inputs'!$D$15)^(3-1)</s:f>
        <s:v/>
      </s:c>
      <s:c r="G46" s="173">
        <s:f>'04_Mode_Params'!$D$14*(1+'02_Inputs'!$D$15)^(4-1)</s:f>
        <s:v/>
      </s:c>
      <s:c r="H46" s="173">
        <s:f>'04_Mode_Params'!$D$14*(1+'02_Inputs'!$D$15)^(5-1)</s:f>
        <s:v/>
      </s:c>
      <s:c r="I46" s="173">
        <s:f>'04_Mode_Params'!$D$14*(1+'02_Inputs'!$D$15)^(6-1)</s:f>
        <s:v/>
      </s:c>
      <s:c r="J46" s="173">
        <s:f>'04_Mode_Params'!$D$14*(1+'02_Inputs'!$D$15)^(7-1)</s:f>
        <s:v/>
      </s:c>
      <s:c r="K46" s="173">
        <s:f>'04_Mode_Params'!$D$14*(1+'02_Inputs'!$D$15)^(8-1)</s:f>
        <s:v/>
      </s:c>
      <s:c r="L46" s="173">
        <s:f>'04_Mode_Params'!$D$14*(1+'02_Inputs'!$D$15)^(9-1)</s:f>
        <s:v/>
      </s:c>
      <s:c r="M46" s="173">
        <s:f>'04_Mode_Params'!$D$14*(1+'02_Inputs'!$D$15)^(10-1)</s:f>
        <s:v/>
      </s:c>
    </s:row>
    <s:row r="47">
      <s:c r="A47" s="45" t="inlineStr">
        <s:is>
          <s:t>LaaS/AI订阅｜服务商</s:t>
        </s:is>
      </s:c>
      <s:c r="B47" s="45" t="inlineStr">
        <s:is>
          <s:t>升级/备件储备（正数，扣减）</s:t>
        </s:is>
      </s:c>
      <s:c r="C47" s="173">
        <s:f>0</s:f>
        <s:v/>
      </s:c>
      <s:c r="D47" s="173">
        <s:f>'04_Mode_Params'!$D$15*(1+'02_Inputs'!$D$15)^(1-1)</s:f>
        <s:v/>
      </s:c>
      <s:c r="E47" s="173">
        <s:f>'04_Mode_Params'!$D$15*(1+'02_Inputs'!$D$15)^(2-1)</s:f>
        <s:v/>
      </s:c>
      <s:c r="F47" s="173">
        <s:f>'04_Mode_Params'!$D$15*(1+'02_Inputs'!$D$15)^(3-1)</s:f>
        <s:v/>
      </s:c>
      <s:c r="G47" s="173">
        <s:f>'04_Mode_Params'!$D$15*(1+'02_Inputs'!$D$15)^(4-1)</s:f>
        <s:v/>
      </s:c>
      <s:c r="H47" s="173">
        <s:f>'04_Mode_Params'!$D$15*(1+'02_Inputs'!$D$15)^(5-1)</s:f>
        <s:v/>
      </s:c>
      <s:c r="I47" s="173">
        <s:f>'04_Mode_Params'!$D$15*(1+'02_Inputs'!$D$15)^(6-1)</s:f>
        <s:v/>
      </s:c>
      <s:c r="J47" s="173">
        <s:f>'04_Mode_Params'!$D$15*(1+'02_Inputs'!$D$15)^(7-1)</s:f>
        <s:v/>
      </s:c>
      <s:c r="K47" s="173">
        <s:f>'04_Mode_Params'!$D$15*(1+'02_Inputs'!$D$15)^(8-1)</s:f>
        <s:v/>
      </s:c>
      <s:c r="L47" s="173">
        <s:f>'04_Mode_Params'!$D$15*(1+'02_Inputs'!$D$15)^(9-1)</s:f>
        <s:v/>
      </s:c>
      <s:c r="M47" s="173">
        <s:f>'04_Mode_Params'!$D$15*(1+'02_Inputs'!$D$15)^(10-1)</s:f>
        <s:v/>
      </s:c>
    </s:row>
    <s:row r="48">
      <s:c r="A48" s="112" t="inlineStr">
        <s:is>
          <s:t>LaaS/AI订阅｜服务商</s:t>
        </s:is>
      </s:c>
      <s:c r="B48" s="112" t="inlineStr">
        <s:is>
          <s:t>年度总收入</s:t>
        </s:is>
      </s:c>
      <s:c r="C48" s="191">
        <s:f>0</s:f>
        <s:v/>
      </s:c>
      <s:c r="D48" s="191">
        <s:f>D40+D41+D42</s:f>
        <s:v/>
      </s:c>
      <s:c r="E48" s="191">
        <s:f>E40+E41+E42</s:f>
        <s:v/>
      </s:c>
      <s:c r="F48" s="191">
        <s:f>F40+F41+F42</s:f>
        <s:v/>
      </s:c>
      <s:c r="G48" s="191">
        <s:f>G40+G41+G42</s:f>
        <s:v/>
      </s:c>
      <s:c r="H48" s="191">
        <s:f>H40+H41+H42</s:f>
        <s:v/>
      </s:c>
      <s:c r="I48" s="191">
        <s:f>I40+I41+I42</s:f>
        <s:v/>
      </s:c>
      <s:c r="J48" s="191">
        <s:f>J40+J41+J42</s:f>
        <s:v/>
      </s:c>
      <s:c r="K48" s="191">
        <s:f>K40+K41+K42</s:f>
        <s:v/>
      </s:c>
      <s:c r="L48" s="191">
        <s:f>L40+L41+L42</s:f>
        <s:v/>
      </s:c>
      <s:c r="M48" s="191">
        <s:f>M40+M41+M42</s:f>
        <s:v/>
      </s:c>
    </s:row>
    <s:row r="49">
      <s:c r="A49" s="112" t="inlineStr">
        <s:is>
          <s:t>LaaS/AI订阅｜服务商</s:t>
        </s:is>
      </s:c>
      <s:c r="B49" s="112" t="inlineStr">
        <s:is>
          <s:t>年度总现金成本</s:t>
        </s:is>
      </s:c>
      <s:c r="C49" s="191">
        <s:f>C39</s:f>
        <s:v/>
      </s:c>
      <s:c r="D49" s="191">
        <s:f>D39+D44+D45+D46+D47</s:f>
        <s:v/>
      </s:c>
      <s:c r="E49" s="191">
        <s:f>E39+E44+E45+E46+E47</s:f>
        <s:v/>
      </s:c>
      <s:c r="F49" s="191">
        <s:f>F39+F44+F45+F46+F47</s:f>
        <s:v/>
      </s:c>
      <s:c r="G49" s="191">
        <s:f>G39+G44+G45+G46+G47</s:f>
        <s:v/>
      </s:c>
      <s:c r="H49" s="191">
        <s:f>H39+H44+H45+H46+H47</s:f>
        <s:v/>
      </s:c>
      <s:c r="I49" s="191">
        <s:f>I39+I44+I45+I46+I47</s:f>
        <s:v/>
      </s:c>
      <s:c r="J49" s="191">
        <s:f>J39+J44+J45+J46+J47</s:f>
        <s:v/>
      </s:c>
      <s:c r="K49" s="191">
        <s:f>K39+K44+K45+K46+K47</s:f>
        <s:v/>
      </s:c>
      <s:c r="L49" s="191">
        <s:f>L39+L44+L45+L46+L47</s:f>
        <s:v/>
      </s:c>
      <s:c r="M49" s="191">
        <s:f>M39+M44+M45+M46+M47</s:f>
        <s:v/>
      </s:c>
    </s:row>
    <s:row r="50">
      <s:c r="A50" s="112" t="inlineStr">
        <s:is>
          <s:t>LaaS/AI订阅｜服务商</s:t>
        </s:is>
      </s:c>
      <s:c r="B50" s="112" t="inlineStr">
        <s:is>
          <s:t>年度净现金流</s:t>
        </s:is>
      </s:c>
      <s:c r="C50" s="191">
        <s:f>C48-C49</s:f>
        <s:v/>
      </s:c>
      <s:c r="D50" s="191">
        <s:f>D48-D49</s:f>
        <s:v/>
      </s:c>
      <s:c r="E50" s="191">
        <s:f>E48-E49</s:f>
        <s:v/>
      </s:c>
      <s:c r="F50" s="191">
        <s:f>F48-F49</s:f>
        <s:v/>
      </s:c>
      <s:c r="G50" s="191">
        <s:f>G48-G49</s:f>
        <s:v/>
      </s:c>
      <s:c r="H50" s="191">
        <s:f>H48-H49</s:f>
        <s:v/>
      </s:c>
      <s:c r="I50" s="191">
        <s:f>I48-I49</s:f>
        <s:v/>
      </s:c>
      <s:c r="J50" s="191">
        <s:f>J48-J49</s:f>
        <s:v/>
      </s:c>
      <s:c r="K50" s="191">
        <s:f>K48-K49</s:f>
        <s:v/>
      </s:c>
      <s:c r="L50" s="191">
        <s:f>L48-L49</s:f>
        <s:v/>
      </s:c>
      <s:c r="M50" s="191">
        <s:f>M48-M49</s:f>
        <s:v/>
      </s:c>
    </s:row>
    <s:row r="51">
      <s:c r="A51" s="112" t="inlineStr">
        <s:is>
          <s:t>LaaS/AI订阅｜服务商</s:t>
        </s:is>
      </s:c>
      <s:c r="B51" s="112" t="inlineStr">
        <s:is>
          <s:t>累计现金流</s:t>
        </s:is>
      </s:c>
      <s:c r="C51" s="191">
        <s:f>C50</s:f>
        <s:v/>
      </s:c>
      <s:c r="D51" s="191">
        <s:f>C51+D50</s:f>
        <s:v/>
      </s:c>
      <s:c r="E51" s="191">
        <s:f>D51+E50</s:f>
        <s:v/>
      </s:c>
      <s:c r="F51" s="191">
        <s:f>E51+F50</s:f>
        <s:v/>
      </s:c>
      <s:c r="G51" s="191">
        <s:f>F51+G50</s:f>
        <s:v/>
      </s:c>
      <s:c r="H51" s="191">
        <s:f>G51+H50</s:f>
        <s:v/>
      </s:c>
      <s:c r="I51" s="191">
        <s:f>H51+I50</s:f>
        <s:v/>
      </s:c>
      <s:c r="J51" s="191">
        <s:f>I51+J50</s:f>
        <s:v/>
      </s:c>
      <s:c r="K51" s="191">
        <s:f>J51+K50</s:f>
        <s:v/>
      </s:c>
      <s:c r="L51" s="191">
        <s:f>K51+L50</s:f>
        <s:v/>
      </s:c>
      <s:c r="M51" s="191">
        <s:f>L51+M50</s:f>
        <s:v>16960600.000000022</s:v>
      </s:c>
    </s:row>
    <s:row r="52">
      <s:c r="A52" s="45" t="inlineStr">
        <s:is>
          <s:t>LaaS/AI订阅｜服务商</s:t>
        </s:is>
      </s:c>
      <s:c r="B52" s="45" t="inlineStr">
        <s:is>
          <s:t>NPV</s:t>
        </s:is>
      </s:c>
      <s:c r="C52" s="192">
        <s:f>NPV('02_Inputs'!$D$13,D50:M50)+C50</s:f>
        <s:v>8667587.008881645</s:v>
      </s:c>
      <s:c r="D52" s="189" t="n"/>
      <s:c r="E52" s="189" t="n"/>
      <s:c r="F52" s="189" t="n"/>
      <s:c r="G52" s="189" t="n"/>
      <s:c r="H52" s="189" t="n"/>
      <s:c r="I52" s="189" t="n"/>
      <s:c r="J52" s="189" t="n"/>
      <s:c r="K52" s="189" t="n"/>
      <s:c r="L52" s="189" t="n"/>
      <s:c r="M52" s="189" t="n"/>
    </s:row>
    <s:row r="53">
      <s:c r="A53" s="45" t="inlineStr">
        <s:is>
          <s:t>LaaS/AI订阅｜服务商</s:t>
        </s:is>
      </s:c>
      <s:c r="B53" s="45" t="inlineStr">
        <s:is>
          <s:t>IRR</s:t>
        </s:is>
      </s:c>
      <s:c r="C53" s="193">
        <s:f>IFERROR(IRR(C50:M50),"n/a")</s:f>
        <s:v>0.7571287301213394</s:v>
      </s:c>
      <s:c r="D53" s="194" t="n"/>
      <s:c r="E53" s="194" t="n"/>
      <s:c r="F53" s="194" t="n"/>
      <s:c r="G53" s="194" t="n"/>
      <s:c r="H53" s="194" t="n"/>
      <s:c r="I53" s="194" t="n"/>
      <s:c r="J53" s="194" t="n"/>
      <s:c r="K53" s="194" t="n"/>
      <s:c r="L53" s="194" t="n"/>
      <s:c r="M53" s="194" t="n"/>
    </s:row>
    <s:row r="54">
      <s:c r="A54" s="45" t="inlineStr">
        <s:is>
          <s:t>LaaS/AI订阅｜服务商</s:t>
        </s:is>
      </s:c>
      <s:c r="B54" s="45" t="inlineStr">
        <s:is>
          <s:t>10年ROI</s:t>
        </s:is>
      </s:c>
      <s:c r="C54" s="195">
        <s:f>IF(C39=0,"n/a",SUM(C50:M50)/C39)</s:f>
        <s:v>5.791942137085382</s:v>
      </s:c>
      <s:c r="D54" s="194" t="n"/>
      <s:c r="E54" s="194" t="n"/>
      <s:c r="F54" s="194" t="n"/>
      <s:c r="G54" s="194" t="n"/>
      <s:c r="H54" s="194" t="n"/>
      <s:c r="I54" s="194" t="n"/>
      <s:c r="J54" s="194" t="n"/>
      <s:c r="K54" s="194" t="n"/>
      <s:c r="L54" s="194" t="n"/>
      <s:c r="M54" s="194" t="n"/>
    </s:row>
    <s:row r="55">
      <s:c r="A55" s="45" t="inlineStr">
        <s:is>
          <s:t>LaaS/AI订阅｜服务商</s:t>
        </s:is>
      </s:c>
      <s:c r="B55" s="45" t="inlineStr">
        <s:is>
          <s:t>静态回收期</s:t>
        </s:is>
      </s:c>
      <s:c r="C55" s="196">
        <s:f>IF(M51&lt;0,"未回收",IF(C51&gt;=0,C$4,IF(D51&gt;=0,D$4,IF(E51&gt;=0,E$4,IF(F51&gt;=0,F$4,IF(G51&gt;=0,G$4,IF(H51&gt;=0,H$4,IF(I51&gt;=0,I$4,IF(J51&gt;=0,J$4,IF(K51&gt;=0,K$4,IF(L51&gt;=0,L$4,M$4)))))))))))</s:f>
        <s:v/>
      </s:c>
      <s:c r="D55" s="197" t="n"/>
      <s:c r="E55" s="197" t="n"/>
      <s:c r="F55" s="197" t="n"/>
      <s:c r="G55" s="197" t="n"/>
      <s:c r="H55" s="197" t="n"/>
      <s:c r="I55" s="197" t="n"/>
      <s:c r="J55" s="197" t="n"/>
      <s:c r="K55" s="197" t="n"/>
      <s:c r="L55" s="197" t="n"/>
      <s:c r="M55" s="197" t="n"/>
    </s:row>
    <s:row r="56">
      <s:c r="A56" s="45" t="str"/>
      <s:c r="B56" s="45" t="str"/>
      <s:c r="C56" s="189" t="n"/>
      <s:c r="D56" s="189" t="n"/>
      <s:c r="E56" s="189" t="n"/>
      <s:c r="F56" s="189" t="n"/>
      <s:c r="G56" s="189" t="n"/>
      <s:c r="H56" s="189" t="n"/>
      <s:c r="I56" s="189" t="n"/>
      <s:c r="J56" s="189" t="n"/>
      <s:c r="K56" s="189" t="n"/>
      <s:c r="L56" s="189" t="n"/>
      <s:c r="M56" s="189" t="n"/>
    </s:row>
    <s:row r="57">
      <s:c r="A57" s="50" t="inlineStr">
        <s:is>
          <s:t>E. LaaS/AI订阅｜业主侧</s:t>
        </s:is>
      </s:c>
      <s:c r="B57" s="50" t="str"/>
      <s:c r="C57" s="190" t="n"/>
      <s:c r="D57" s="190" t="n"/>
      <s:c r="E57" s="190" t="n"/>
      <s:c r="F57" s="190" t="n"/>
      <s:c r="G57" s="190" t="n"/>
      <s:c r="H57" s="190" t="n"/>
      <s:c r="I57" s="190" t="n"/>
      <s:c r="J57" s="190" t="n"/>
      <s:c r="K57" s="190" t="n"/>
      <s:c r="L57" s="190" t="n"/>
      <s:c r="M57" s="190" t="n"/>
    </s:row>
    <s:row r="58">
      <s:c r="A58" s="45" t="inlineStr">
        <s:is>
          <s:t>LaaS/AI订阅｜业主</s:t>
        </s:is>
      </s:c>
      <s:c r="B58" s="45" t="inlineStr">
        <s:is>
          <s:t>业主支付电费</s:t>
        </s:is>
      </s:c>
      <s:c r="C58" s="189">
        <s:f>0</s:f>
        <s:v/>
      </s:c>
      <s:c r="D58" s="189">
        <s:f>D43*(1-'04_Mode_Params'!$D$10)</s:f>
        <s:v>2056.000000000002</s:v>
      </s:c>
      <s:c r="E58" s="189">
        <s:f>E43*(1-'04_Mode_Params'!$D$10)</s:f>
        <s:v>2056.000000000002</s:v>
      </s:c>
      <s:c r="F58" s="189">
        <s:f>F43*(1-'04_Mode_Params'!$D$10)</s:f>
        <s:v>2056.000000000002</s:v>
      </s:c>
      <s:c r="G58" s="189">
        <s:f>G43*(1-'04_Mode_Params'!$D$10)</s:f>
        <s:v>2056.000000000002</s:v>
      </s:c>
      <s:c r="H58" s="189">
        <s:f>H43*(1-'04_Mode_Params'!$D$10)</s:f>
        <s:v>2056.000000000002</s:v>
      </s:c>
      <s:c r="I58" s="189">
        <s:f>I43*(1-'04_Mode_Params'!$D$10)</s:f>
        <s:v>2056.000000000002</s:v>
      </s:c>
      <s:c r="J58" s="189">
        <s:f>J43*(1-'04_Mode_Params'!$D$10)</s:f>
        <s:v>2056.000000000002</s:v>
      </s:c>
      <s:c r="K58" s="189">
        <s:f>K43*(1-'04_Mode_Params'!$D$10)</s:f>
        <s:v>2056.000000000002</s:v>
      </s:c>
      <s:c r="L58" s="189">
        <s:f>L43*(1-'04_Mode_Params'!$D$10)</s:f>
        <s:v>2056.000000000002</s:v>
      </s:c>
      <s:c r="M58" s="189">
        <s:f>M43*(1-'04_Mode_Params'!$D$10)</s:f>
        <s:v>2056.000000000002</s:v>
      </s:c>
    </s:row>
    <s:row r="59">
      <s:c r="A59" s="45" t="inlineStr">
        <s:is>
          <s:t>LaaS/AI订阅｜业主</s:t>
        </s:is>
      </s:c>
      <s:c r="B59" s="45" t="inlineStr">
        <s:is>
          <s:t>订阅费支出</s:t>
        </s:is>
      </s:c>
      <s:c r="C59" s="189">
        <s:f>0</s:f>
        <s:v/>
      </s:c>
      <s:c r="D59" s="189">
        <s:f>D40</s:f>
        <s:v>2660000.0</s:v>
      </s:c>
      <s:c r="E59" s="189">
        <s:f>E40</s:f>
        <s:v>2660000.0</s:v>
      </s:c>
      <s:c r="F59" s="189">
        <s:f>F40</s:f>
        <s:v>2660000.0</s:v>
      </s:c>
      <s:c r="G59" s="189">
        <s:f>G40</s:f>
        <s:v>2660000.0</s:v>
      </s:c>
      <s:c r="H59" s="189">
        <s:f>H40</s:f>
        <s:v>2660000.0</s:v>
      </s:c>
      <s:c r="I59" s="189">
        <s:f>I40</s:f>
        <s:v>2660000.0</s:v>
      </s:c>
      <s:c r="J59" s="189">
        <s:f>J40</s:f>
        <s:v>2660000.0</s:v>
      </s:c>
      <s:c r="K59" s="189">
        <s:f>K40</s:f>
        <s:v>2660000.0</s:v>
      </s:c>
      <s:c r="L59" s="189">
        <s:f>L40</s:f>
        <s:v>2660000.0</s:v>
      </s:c>
      <s:c r="M59" s="189">
        <s:f>M40</s:f>
        <s:v>2660000.0</s:v>
      </s:c>
    </s:row>
    <s:row r="60">
      <s:c r="A60" s="45" t="inlineStr">
        <s:is>
          <s:t>LaaS/AI订阅｜业主</s:t>
        </s:is>
      </s:c>
      <s:c r="B60" s="45" t="inlineStr">
        <s:is>
          <s:t>业主保留管理成本</s:t>
        </s:is>
      </s:c>
      <s:c r="C60" s="189">
        <s:f>0</s:f>
        <s:v/>
      </s:c>
      <s:c r="D60" s="189">
        <s:f>'02_Inputs'!$D$17*(1+'02_Inputs'!$D$15)^(1-1)</s:f>
        <s:v/>
      </s:c>
      <s:c r="E60" s="189">
        <s:f>'02_Inputs'!$D$17*(1+'02_Inputs'!$D$15)^(2-1)</s:f>
        <s:v/>
      </s:c>
      <s:c r="F60" s="189">
        <s:f>'02_Inputs'!$D$17*(1+'02_Inputs'!$D$15)^(3-1)</s:f>
        <s:v/>
      </s:c>
      <s:c r="G60" s="189">
        <s:f>'02_Inputs'!$D$17*(1+'02_Inputs'!$D$15)^(4-1)</s:f>
        <s:v/>
      </s:c>
      <s:c r="H60" s="189">
        <s:f>'02_Inputs'!$D$17*(1+'02_Inputs'!$D$15)^(5-1)</s:f>
        <s:v/>
      </s:c>
      <s:c r="I60" s="189">
        <s:f>'02_Inputs'!$D$17*(1+'02_Inputs'!$D$15)^(6-1)</s:f>
        <s:v/>
      </s:c>
      <s:c r="J60" s="189">
        <s:f>'02_Inputs'!$D$17*(1+'02_Inputs'!$D$15)^(7-1)</s:f>
        <s:v/>
      </s:c>
      <s:c r="K60" s="189">
        <s:f>'02_Inputs'!$D$17*(1+'02_Inputs'!$D$15)^(8-1)</s:f>
        <s:v/>
      </s:c>
      <s:c r="L60" s="189">
        <s:f>'02_Inputs'!$D$17*(1+'02_Inputs'!$D$15)^(9-1)</s:f>
        <s:v/>
      </s:c>
      <s:c r="M60" s="189">
        <s:f>'02_Inputs'!$D$17*(1+'02_Inputs'!$D$15)^(10-1)</s:f>
        <s:v/>
      </s:c>
    </s:row>
    <s:row r="61">
      <s:c r="A61" s="112" t="inlineStr">
        <s:is>
          <s:t>LaaS/AI订阅｜业主</s:t>
        </s:is>
      </s:c>
      <s:c r="B61" s="112" t="inlineStr">
        <s:is>
          <s:t>业主年度总支出</s:t>
        </s:is>
      </s:c>
      <s:c r="C61" s="191">
        <s:f>0</s:f>
        <s:v/>
      </s:c>
      <s:c r="D61" s="191">
        <s:f>D58+D59+D60</s:f>
        <s:v>2662056.0</s:v>
      </s:c>
      <s:c r="E61" s="191">
        <s:f>E58+E59+E60</s:f>
        <s:v>2662056.0</s:v>
      </s:c>
      <s:c r="F61" s="191">
        <s:f>F58+F59+F60</s:f>
        <s:v>2662056.0</s:v>
      </s:c>
      <s:c r="G61" s="191">
        <s:f>G58+G59+G60</s:f>
        <s:v>2662056.0</s:v>
      </s:c>
      <s:c r="H61" s="191">
        <s:f>H58+H59+H60</s:f>
        <s:v>2662056.0</s:v>
      </s:c>
      <s:c r="I61" s="191">
        <s:f>I58+I59+I60</s:f>
        <s:v>2662056.0</s:v>
      </s:c>
      <s:c r="J61" s="191">
        <s:f>J58+J59+J60</s:f>
        <s:v>2662056.0</s:v>
      </s:c>
      <s:c r="K61" s="191">
        <s:f>K58+K59+K60</s:f>
        <s:v>2662056.0</s:v>
      </s:c>
      <s:c r="L61" s="191">
        <s:f>L58+L59+L60</s:f>
        <s:v>2662056.0</s:v>
      </s:c>
      <s:c r="M61" s="191">
        <s:f>M58+M59+M60</s:f>
        <s:v>2662056.0</s:v>
      </s:c>
    </s:row>
    <s:row r="62">
      <s:c r="A62" s="112" t="inlineStr">
        <s:is>
          <s:t>LaaS/AI订阅｜业主</s:t>
        </s:is>
      </s:c>
      <s:c r="B62" s="112" t="inlineStr">
        <s:is>
          <s:t>业主年度净节省</s:t>
        </s:is>
      </s:c>
      <s:c r="C62" s="191">
        <s:f>0</s:f>
        <s:v/>
      </s:c>
      <s:c r="D62" s="191">
        <s:f>D8-D61</s:f>
        <s:v>3944.0</s:v>
      </s:c>
      <s:c r="E62" s="191">
        <s:f>E8-E61</s:f>
        <s:v>3944.0</s:v>
      </s:c>
      <s:c r="F62" s="191">
        <s:f>F8-F61</s:f>
        <s:v>3944.0</s:v>
      </s:c>
      <s:c r="G62" s="191">
        <s:f>G8-G61</s:f>
        <s:v>3944.0</s:v>
      </s:c>
      <s:c r="H62" s="191">
        <s:f>H8-H61</s:f>
        <s:v>3944.0</s:v>
      </s:c>
      <s:c r="I62" s="191">
        <s:f>I8-I61</s:f>
        <s:v>3944.0</s:v>
      </s:c>
      <s:c r="J62" s="191">
        <s:f>J8-J61</s:f>
        <s:v>3944.0</s:v>
      </s:c>
      <s:c r="K62" s="191">
        <s:f>K8-K61</s:f>
        <s:v>3944.0</s:v>
      </s:c>
      <s:c r="L62" s="191">
        <s:f>L8-L61</s:f>
        <s:v>3944.0</s:v>
      </s:c>
      <s:c r="M62" s="191">
        <s:f>M8-M61</s:f>
        <s:v>3944.0</s:v>
      </s:c>
    </s:row>
    <s:row r="63">
      <s:c r="A63" s="45" t="inlineStr">
        <s:is>
          <s:t>LaaS/AI订阅｜业主</s:t>
        </s:is>
      </s:c>
      <s:c r="B63" s="45" t="inlineStr">
        <s:is>
          <s:t>业主节省率</s:t>
        </s:is>
      </s:c>
      <s:c r="C63" s="194">
        <s:f>0</s:f>
        <s:v/>
      </s:c>
      <s:c r="D63" s="194">
        <s:f>IF(D8=0,0,D62/D8)</s:f>
        <s:v/>
      </s:c>
      <s:c r="E63" s="194">
        <s:f>IF(E8=0,0,E62/E8)</s:f>
        <s:v/>
      </s:c>
      <s:c r="F63" s="194">
        <s:f>IF(F8=0,0,F62/F8)</s:f>
        <s:v/>
      </s:c>
      <s:c r="G63" s="194">
        <s:f>IF(G8=0,0,G62/G8)</s:f>
        <s:v/>
      </s:c>
      <s:c r="H63" s="194">
        <s:f>IF(H8=0,0,H62/H8)</s:f>
        <s:v/>
      </s:c>
      <s:c r="I63" s="194">
        <s:f>IF(I8=0,0,I62/I8)</s:f>
        <s:v/>
      </s:c>
      <s:c r="J63" s="194">
        <s:f>IF(J8=0,0,J62/J8)</s:f>
        <s:v/>
      </s:c>
      <s:c r="K63" s="194">
        <s:f>IF(K8=0,0,K62/K8)</s:f>
        <s:v/>
      </s:c>
      <s:c r="L63" s="194">
        <s:f>IF(L8=0,0,L62/L8)</s:f>
        <s:v/>
      </s:c>
      <s:c r="M63" s="194">
        <s:f>IF(M8=0,0,M62/M8)</s:f>
        <s:v/>
      </s:c>
    </s:row>
  </s:sheetData>
  <s:mergeCells count="2">
    <s:mergeCell ref="A2:M2"/>
    <s:mergeCell ref="A1:M1"/>
  </s:mergeCells>
  <s:pageMargins left="0.7" right="0.7" top="0.75" bottom="0.75" header="0.3" footer="0.3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Z20"/>
  <s:sheetViews>
    <s:sheetView workbookViewId="0">
      <s:selection activeCell="A1" sqref="A1"/>
    </s:sheetView>
  </s:sheetViews>
  <s:sheetFormatPr baseColWidth="8" defaultRowHeight="15"/>
  <s:cols>
    <s:col width="32" customWidth="1" min="1" max="1"/>
    <s:col width="16" customWidth="1" min="2" max="2"/>
    <s:col width="16" customWidth="1" min="3" max="3"/>
    <s:col width="16" customWidth="1" min="4" max="4"/>
    <s:col width="16" customWidth="1" min="5" max="5"/>
    <s:col width="16" customWidth="1" min="6" max="6"/>
    <s:col width="16" customWidth="1" min="7" max="7"/>
    <s:col width="16" customWidth="1" min="8" max="8"/>
    <s:col width="16" customWidth="1" min="9" max="9"/>
  </s:cols>
  <s:sheetData>
    <s:row r="1" ht="26" customHeight="1">
      <s:c r="A1" s="5" t="inlineStr">
        <s:is>
          <s:t>敏感性分析｜年费、节电率与服务商回报要求</s:t>
        </s:is>
      </s:c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8" t="n"/>
      <s:c r="K1" s="18" t="n"/>
      <s:c r="L1" s="18" t="n"/>
      <s:c r="M1" s="18" t="n"/>
      <s:c r="N1" s="18" t="n"/>
      <s:c r="O1" s="18" t="n"/>
      <s:c r="P1" s="18" t="n"/>
      <s:c r="Q1" s="18" t="n"/>
      <s:c r="R1" s="18" t="n"/>
      <s:c r="S1" s="18" t="n"/>
      <s:c r="T1" s="18" t="n"/>
      <s:c r="U1" s="18" t="n"/>
      <s:c r="V1" s="18" t="n"/>
      <s:c r="W1" s="18" t="n"/>
      <s:c r="X1" s="18" t="n"/>
      <s:c r="Y1" s="18" t="n"/>
      <s:c r="Z1" s="18" t="n"/>
    </s:row>
    <s:row r="2" ht="22" customHeight="1">
      <s:c r="A2" s="7" t="inlineStr">
        <s:is>
          <s:t>用于判断“100万元/年”是否足够，以及Laas节电率提升能否覆盖更高CAPEX和平台/升级成本。</s:t>
        </s:is>
      </s:c>
      <s:c r="B2" s="1" t="n"/>
      <s:c r="C2" s="1" t="n"/>
      <s:c r="D2" s="1" t="n"/>
      <s:c r="E2" s="1" t="n"/>
      <s:c r="F2" s="1" t="n"/>
      <s:c r="G2" s="1" t="n"/>
      <s:c r="H2" s="1" t="n"/>
      <s:c r="I2" s="1" t="n"/>
    </s:row>
    <s:row r="4">
      <s:c r="A4" s="44" t="inlineStr">
        <s:is>
          <s:t>模式</s:t>
        </s:is>
      </s:c>
      <s:c r="B4" s="44" t="inlineStr">
        <s:is>
          <s:t>10年现金回本所需年费</s:t>
        </s:is>
      </s:c>
      <s:c r="C4" s="44" t="inlineStr">
        <s:is>
          <s:t>NPV=0所需年费</s:t>
        </s:is>
      </s:c>
      <s:c r="D4" s="44" t="inlineStr">
        <s:is>
          <s:t>当前年费</s:t>
        </s:is>
      </s:c>
      <s:c r="E4" s="44" t="inlineStr">
        <s:is>
          <s:t>当前年费缺口/富余</s:t>
        </s:is>
      </s:c>
      <s:c r="F4" s="44" t="inlineStr">
        <s:is>
          <s:t>解释</s:t>
        </s:is>
      </s:c>
    </s:row>
    <s:row r="5">
      <s:c r="A5" s="45" t="inlineStr">
        <s:is>
          <s:t>能源托管/EMC</s:t>
        </s:is>
      </s:c>
      <s:c r="B5" s="189">
        <s:f>('04_Mode_Params'!C5+'02_Inputs'!$D$5*('04_Mode_Params'!C17-'04_Mode_Params'!C7))/'02_Inputs'!$D$5</s:f>
        <s:v/>
      </s:c>
      <s:c r="C5" s="189">
        <s:f>'04_Mode_Params'!C5/(IF('02_Inputs'!$D$13=0,'02_Inputs'!$D$5,(1-(1+'02_Inputs'!$D$13)^-'02_Inputs'!$D$5)/'02_Inputs'!$D$13))+'04_Mode_Params'!C17-'04_Mode_Params'!C7</s:f>
        <s:v/>
      </s:c>
      <s:c r="D5" s="189">
        <s:f>'04_Mode_Params'!C6</s:f>
        <s:v/>
      </s:c>
      <s:c r="E5" s="189">
        <s:f>D5-C5</s:f>
        <s:v/>
      </s:c>
      <s:c r="F5" s="60" t="inlineStr">
        <s:is>
          <s:t>若为负，说明当前年费低于达到折现率要求的年费。</s:t>
        </s:is>
      </s:c>
    </s:row>
    <s:row r="6">
      <s:c r="A6" s="45" t="inlineStr">
        <s:is>
          <s:t>LaaS/AI订阅</s:t>
        </s:is>
      </s:c>
      <s:c r="B6" s="189">
        <s:f>('04_Mode_Params'!D5+'02_Inputs'!$D$5*('04_Mode_Params'!D17-'04_Mode_Params'!D7))/'02_Inputs'!$D$5</s:f>
        <s:v/>
      </s:c>
      <s:c r="C6" s="189">
        <s:f>'04_Mode_Params'!D5/(IF('02_Inputs'!$D$13=0,'02_Inputs'!$D$5,(1-(1+'02_Inputs'!$D$13)^-'02_Inputs'!$D$5)/'02_Inputs'!$D$13))+'04_Mode_Params'!D17-'04_Mode_Params'!D7</s:f>
        <s:v/>
      </s:c>
      <s:c r="D6" s="189">
        <s:f>'04_Mode_Params'!D6</s:f>
        <s:v/>
      </s:c>
      <s:c r="E6" s="189">
        <s:f>D6-C6</s:f>
        <s:v/>
      </s:c>
      <s:c r="F6" s="60" t="inlineStr">
        <s:is>
          <s:t>若Laas CAPEX和平台升级成本更高，所需年费通常高于普通托管。</s:t>
        </s:is>
      </s:c>
    </s:row>
    <s:row r="9">
      <s:c r="A9" s="44" t="inlineStr">
        <s:is>
          <s:t>年费敏感性</s:t>
        </s:is>
      </s:c>
      <s:c r="B9" s="44" t="inlineStr">
        <s:is>
          <s:t>80万</s:t>
        </s:is>
      </s:c>
      <s:c r="C9" s="44" t="inlineStr">
        <s:is>
          <s:t>90万</s:t>
        </s:is>
      </s:c>
      <s:c r="D9" s="44" t="inlineStr">
        <s:is>
          <s:t>100万</s:t>
        </s:is>
      </s:c>
      <s:c r="E9" s="44" t="inlineStr">
        <s:is>
          <s:t>110万</s:t>
        </s:is>
      </s:c>
      <s:c r="F9" s="44" t="inlineStr">
        <s:is>
          <s:t>120万</s:t>
        </s:is>
      </s:c>
      <s:c r="G9" s="44" t="inlineStr">
        <s:is>
          <s:t>140万</s:t>
        </s:is>
      </s:c>
      <s:c r="H9" s="44" t="inlineStr">
        <s:is>
          <s:t>160万</s:t>
        </s:is>
      </s:c>
    </s:row>
    <s:row r="10">
      <s:c r="A10" s="130" t="inlineStr">
        <s:is>
          <s:t>能源托管/EMC 10年ROI</s:t>
        </s:is>
      </s:c>
      <s:c r="B10" s="198">
        <s:f>((800000+'04_Mode_Params'!$C$7-'04_Mode_Params'!$C$17)*'02_Inputs'!$D$5-'04_Mode_Params'!$C$5)/'04_Mode_Params'!$C$5</s:f>
        <s:v/>
      </s:c>
      <s:c r="C10" s="198">
        <s:f>((900000+'04_Mode_Params'!$C$7-'04_Mode_Params'!$C$17)*'02_Inputs'!$D$5-'04_Mode_Params'!$C$5)/'04_Mode_Params'!$C$5</s:f>
        <s:v/>
      </s:c>
      <s:c r="D10" s="198">
        <s:f>((1000000+'04_Mode_Params'!$C$7-'04_Mode_Params'!$C$17)*'02_Inputs'!$D$5-'04_Mode_Params'!$C$5)/'04_Mode_Params'!$C$5</s:f>
        <s:v/>
      </s:c>
      <s:c r="E10" s="198">
        <s:f>((1100000+'04_Mode_Params'!$C$7-'04_Mode_Params'!$C$17)*'02_Inputs'!$D$5-'04_Mode_Params'!$C$5)/'04_Mode_Params'!$C$5</s:f>
        <s:v/>
      </s:c>
      <s:c r="F10" s="198">
        <s:f>((1200000+'04_Mode_Params'!$C$7-'04_Mode_Params'!$C$17)*'02_Inputs'!$D$5-'04_Mode_Params'!$C$5)/'04_Mode_Params'!$C$5</s:f>
        <s:v/>
      </s:c>
      <s:c r="G10" s="198">
        <s:f>((1400000+'04_Mode_Params'!$C$7-'04_Mode_Params'!$C$17)*'02_Inputs'!$D$5-'04_Mode_Params'!$C$5)/'04_Mode_Params'!$C$5</s:f>
        <s:v/>
      </s:c>
      <s:c r="H10" s="198">
        <s:f>((1600000+'04_Mode_Params'!$C$7-'04_Mode_Params'!$C$17)*'02_Inputs'!$D$5-'04_Mode_Params'!$C$5)/'04_Mode_Params'!$C$5</s:f>
        <s:v/>
      </s:c>
    </s:row>
    <s:row r="11">
      <s:c r="A11" s="130" t="inlineStr">
        <s:is>
          <s:t>能源托管/EMC 年度净经营现金流</s:t>
        </s:is>
      </s:c>
      <s:c r="B11" s="170">
        <s:f>800000+'04_Mode_Params'!$C$7-'04_Mode_Params'!$C$17</s:f>
        <s:v/>
      </s:c>
      <s:c r="C11" s="170">
        <s:f>900000+'04_Mode_Params'!$C$7-'04_Mode_Params'!$C$17</s:f>
        <s:v/>
      </s:c>
      <s:c r="D11" s="170">
        <s:f>1000000+'04_Mode_Params'!$C$7-'04_Mode_Params'!$C$17</s:f>
        <s:v/>
      </s:c>
      <s:c r="E11" s="170">
        <s:f>1100000+'04_Mode_Params'!$C$7-'04_Mode_Params'!$C$17</s:f>
        <s:v/>
      </s:c>
      <s:c r="F11" s="170">
        <s:f>1200000+'04_Mode_Params'!$C$7-'04_Mode_Params'!$C$17</s:f>
        <s:v/>
      </s:c>
      <s:c r="G11" s="170">
        <s:f>1400000+'04_Mode_Params'!$C$7-'04_Mode_Params'!$C$17</s:f>
        <s:v/>
      </s:c>
      <s:c r="H11" s="170">
        <s:f>1600000+'04_Mode_Params'!$C$7-'04_Mode_Params'!$C$17</s:f>
        <s:v/>
      </s:c>
    </s:row>
    <s:row r="12">
      <s:c r="A12" s="130" t="inlineStr">
        <s:is>
          <s:t>LaaS/AI订阅 10年ROI</s:t>
        </s:is>
      </s:c>
      <s:c r="B12" s="198">
        <s:f>((800000+'04_Mode_Params'!$D$7-'04_Mode_Params'!$D$17)*'02_Inputs'!$D$5-'04_Mode_Params'!$D$5)/'04_Mode_Params'!$D$5</s:f>
        <s:v/>
      </s:c>
      <s:c r="C12" s="198">
        <s:f>((900000+'04_Mode_Params'!$D$7-'04_Mode_Params'!$D$17)*'02_Inputs'!$D$5-'04_Mode_Params'!$D$5)/'04_Mode_Params'!$D$5</s:f>
        <s:v/>
      </s:c>
      <s:c r="D12" s="198">
        <s:f>((1000000+'04_Mode_Params'!$D$7-'04_Mode_Params'!$D$17)*'02_Inputs'!$D$5-'04_Mode_Params'!$D$5)/'04_Mode_Params'!$D$5</s:f>
        <s:v/>
      </s:c>
      <s:c r="E12" s="198">
        <s:f>((1100000+'04_Mode_Params'!$D$7-'04_Mode_Params'!$D$17)*'02_Inputs'!$D$5-'04_Mode_Params'!$D$5)/'04_Mode_Params'!$D$5</s:f>
        <s:v/>
      </s:c>
      <s:c r="F12" s="198">
        <s:f>((1200000+'04_Mode_Params'!$D$7-'04_Mode_Params'!$D$17)*'02_Inputs'!$D$5-'04_Mode_Params'!$D$5)/'04_Mode_Params'!$D$5</s:f>
        <s:v/>
      </s:c>
      <s:c r="G12" s="198">
        <s:f>((1400000+'04_Mode_Params'!$D$7-'04_Mode_Params'!$D$17)*'02_Inputs'!$D$5-'04_Mode_Params'!$D$5)/'04_Mode_Params'!$D$5</s:f>
        <s:v/>
      </s:c>
      <s:c r="H12" s="198">
        <s:f>((1600000+'04_Mode_Params'!$D$7-'04_Mode_Params'!$D$17)*'02_Inputs'!$D$5-'04_Mode_Params'!$D$5)/'04_Mode_Params'!$D$5</s:f>
        <s:v/>
      </s:c>
    </s:row>
    <s:row r="13">
      <s:c r="A13" s="130" t="inlineStr">
        <s:is>
          <s:t>LaaS/AI订阅 年度净经营现金流</s:t>
        </s:is>
      </s:c>
      <s:c r="B13" s="170">
        <s:f>800000+'04_Mode_Params'!$D$7-'04_Mode_Params'!$D$17</s:f>
        <s:v/>
      </s:c>
      <s:c r="C13" s="170">
        <s:f>900000+'04_Mode_Params'!$D$7-'04_Mode_Params'!$D$17</s:f>
        <s:v/>
      </s:c>
      <s:c r="D13" s="170">
        <s:f>1000000+'04_Mode_Params'!$D$7-'04_Mode_Params'!$D$17</s:f>
        <s:v/>
      </s:c>
      <s:c r="E13" s="170">
        <s:f>1100000+'04_Mode_Params'!$D$7-'04_Mode_Params'!$D$17</s:f>
        <s:v/>
      </s:c>
      <s:c r="F13" s="170">
        <s:f>1200000+'04_Mode_Params'!$D$7-'04_Mode_Params'!$D$17</s:f>
        <s:v/>
      </s:c>
      <s:c r="G13" s="170">
        <s:f>1400000+'04_Mode_Params'!$D$7-'04_Mode_Params'!$D$17</s:f>
        <s:v/>
      </s:c>
      <s:c r="H13" s="170">
        <s:f>1600000+'04_Mode_Params'!$D$7-'04_Mode_Params'!$D$17</s:f>
        <s:v/>
      </s:c>
    </s:row>
    <s:row r="16">
      <s:c r="A16" s="44" t="inlineStr">
        <s:is>
          <s:t>节电率敏感性</s:t>
        </s:is>
      </s:c>
      <s:c r="B16" s="44" t="inlineStr">
        <s:is>
          <s:t>40%</s:t>
        </s:is>
      </s:c>
      <s:c r="C16" s="44" t="inlineStr">
        <s:is>
          <s:t>45%</s:t>
        </s:is>
      </s:c>
      <s:c r="D16" s="44" t="inlineStr">
        <s:is>
          <s:t>50%</s:t>
        </s:is>
      </s:c>
      <s:c r="E16" s="44" t="inlineStr">
        <s:is>
          <s:t>55%</s:t>
        </s:is>
      </s:c>
      <s:c r="F16" s="44" t="inlineStr">
        <s:is>
          <s:t>60%</s:t>
        </s:is>
      </s:c>
      <s:c r="G16" s="44" t="inlineStr">
        <s:is>
          <s:t>65%</s:t>
        </s:is>
      </s:c>
      <s:c r="H16" s="44" t="inlineStr">
        <s:is>
          <s:t>70%</s:t>
        </s:is>
      </s:c>
    </s:row>
    <s:row r="17">
      <s:c r="A17" s="130" t="inlineStr">
        <s:is>
          <s:t>能源托管/EMC 业主年净节省</s:t>
        </s:is>
      </s:c>
      <s:c r="B17" s="170">
        <s:f>'03_Baseline'!$D$15-('03_Baseline'!$D$12*(1-0.4)*(1-'04_Mode_Params'!$C$10)+'04_Mode_Params'!$C$6+'02_Inputs'!$D$17)</s:f>
        <s:v/>
      </s:c>
      <s:c r="C17" s="170">
        <s:f>'03_Baseline'!$D$15-('03_Baseline'!$D$12*(1-0.45)*(1-'04_Mode_Params'!$C$10)+'04_Mode_Params'!$C$6+'02_Inputs'!$D$17)</s:f>
        <s:v/>
      </s:c>
      <s:c r="D17" s="170">
        <s:f>'03_Baseline'!$D$15-('03_Baseline'!$D$12*(1-0.5)*(1-'04_Mode_Params'!$C$10)+'04_Mode_Params'!$C$6+'02_Inputs'!$D$17)</s:f>
        <s:v/>
      </s:c>
      <s:c r="E17" s="170">
        <s:f>'03_Baseline'!$D$15-('03_Baseline'!$D$12*(1-0.55)*(1-'04_Mode_Params'!$C$10)+'04_Mode_Params'!$C$6+'02_Inputs'!$D$17)</s:f>
        <s:v/>
      </s:c>
      <s:c r="F17" s="170">
        <s:f>'03_Baseline'!$D$15-('03_Baseline'!$D$12*(1-0.6)*(1-'04_Mode_Params'!$C$10)+'04_Mode_Params'!$C$6+'02_Inputs'!$D$17)</s:f>
        <s:v/>
      </s:c>
      <s:c r="G17" s="170">
        <s:f>'03_Baseline'!$D$15-('03_Baseline'!$D$12*(1-0.65)*(1-'04_Mode_Params'!$C$10)+'04_Mode_Params'!$C$6+'02_Inputs'!$D$17)</s:f>
        <s:v/>
      </s:c>
      <s:c r="H17" s="170">
        <s:f>'03_Baseline'!$D$15-('03_Baseline'!$D$12*(1-0.7)*(1-'04_Mode_Params'!$C$10)+'04_Mode_Params'!$C$6+'02_Inputs'!$D$17)</s:f>
        <s:v/>
      </s:c>
    </s:row>
    <s:row r="18">
      <s:c r="A18" s="130" t="inlineStr">
        <s:is>
          <s:t>能源托管/EMC 业主节省率</s:t>
        </s:is>
      </s:c>
      <s:c r="B18" s="198">
        <s:f>B17/'03_Baseline'!$D$15</s:f>
        <s:v/>
      </s:c>
      <s:c r="C18" s="198">
        <s:f>C17/'03_Baseline'!$D$15</s:f>
        <s:v/>
      </s:c>
      <s:c r="D18" s="198">
        <s:f>D17/'03_Baseline'!$D$15</s:f>
        <s:v/>
      </s:c>
      <s:c r="E18" s="198">
        <s:f>E17/'03_Baseline'!$D$15</s:f>
        <s:v/>
      </s:c>
      <s:c r="F18" s="198">
        <s:f>F17/'03_Baseline'!$D$15</s:f>
        <s:v/>
      </s:c>
      <s:c r="G18" s="198">
        <s:f>G17/'03_Baseline'!$D$15</s:f>
        <s:v/>
      </s:c>
      <s:c r="H18" s="198">
        <s:f>H17/'03_Baseline'!$D$15</s:f>
        <s:v/>
      </s:c>
    </s:row>
    <s:row r="19">
      <s:c r="A19" s="130" t="inlineStr">
        <s:is>
          <s:t>LaaS/AI订阅 业主年净节省</s:t>
        </s:is>
      </s:c>
      <s:c r="B19" s="170">
        <s:f>'03_Baseline'!$D$15-('03_Baseline'!$D$12*(1-0.4)*(1-'04_Mode_Params'!$D$10)+'04_Mode_Params'!$D$6+'02_Inputs'!$D$17)</s:f>
        <s:v>-1227600.0</s:v>
      </s:c>
      <s:c r="C19" s="170">
        <s:f>'03_Baseline'!$D$15-('03_Baseline'!$D$12*(1-0.45)*(1-'04_Mode_Params'!$D$10)+'04_Mode_Params'!$D$6+'02_Inputs'!$D$17)</s:f>
        <s:v>-1124800.0</s:v>
      </s:c>
      <s:c r="D19" s="170">
        <s:f>'03_Baseline'!$D$15-('03_Baseline'!$D$12*(1-0.5)*(1-'04_Mode_Params'!$D$10)+'04_Mode_Params'!$D$6+'02_Inputs'!$D$17)</s:f>
        <s:v>-1022000.0</s:v>
      </s:c>
      <s:c r="E19" s="170">
        <s:f>'03_Baseline'!$D$15-('03_Baseline'!$D$12*(1-0.55)*(1-'04_Mode_Params'!$D$10)+'04_Mode_Params'!$D$6+'02_Inputs'!$D$17)</s:f>
        <s:v>-919200.0</s:v>
      </s:c>
      <s:c r="F19" s="170">
        <s:f>'03_Baseline'!$D$15-('03_Baseline'!$D$12*(1-0.6)*(1-'04_Mode_Params'!$D$10)+'04_Mode_Params'!$D$6+'02_Inputs'!$D$17)</s:f>
        <s:v>-816400.0</s:v>
      </s:c>
      <s:c r="G19" s="170">
        <s:f>'03_Baseline'!$D$15-('03_Baseline'!$D$12*(1-0.65)*(1-'04_Mode_Params'!$D$10)+'04_Mode_Params'!$D$6+'02_Inputs'!$D$17)</s:f>
        <s:v>-713600.0</s:v>
      </s:c>
      <s:c r="H19" s="170">
        <s:f>'03_Baseline'!$D$15-('03_Baseline'!$D$12*(1-0.7)*(1-'04_Mode_Params'!$D$10)+'04_Mode_Params'!$D$6+'02_Inputs'!$D$17)</s:f>
        <s:v>-610800.0</s:v>
      </s:c>
    </s:row>
    <s:row r="20">
      <s:c r="A20" s="130" t="inlineStr">
        <s:is>
          <s:t>LaaS/AI订阅 业主节省率</s:t>
        </s:is>
      </s:c>
      <s:c r="B20" s="198">
        <s:f>B19/'03_Baseline'!$D$15</s:f>
        <s:v/>
      </s:c>
      <s:c r="C20" s="198">
        <s:f>C19/'03_Baseline'!$D$15</s:f>
        <s:v/>
      </s:c>
      <s:c r="D20" s="198">
        <s:f>D19/'03_Baseline'!$D$15</s:f>
        <s:v/>
      </s:c>
      <s:c r="E20" s="198">
        <s:f>E19/'03_Baseline'!$D$15</s:f>
        <s:v/>
      </s:c>
      <s:c r="F20" s="198">
        <s:f>F19/'03_Baseline'!$D$15</s:f>
        <s:v/>
      </s:c>
      <s:c r="G20" s="198">
        <s:f>G19/'03_Baseline'!$D$15</s:f>
        <s:v/>
      </s:c>
      <s:c r="H20" s="198">
        <s:f>H19/'03_Baseline'!$D$15</s:f>
        <s:v/>
      </s:c>
    </s:row>
  </s:sheetData>
  <s:mergeCells count="2">
    <s:mergeCell ref="A1:I1"/>
    <s:mergeCell ref="A2:I2"/>
  </s:mergeCells>
  <s:pageMargins left="0.7" right="0.7" top="0.75" bottom="0.75" header="0.3" footer="0.3"/>
</s: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8" customWidth="1" min="3" max="3"/>
    <col width="18" customWidth="1" min="4" max="4"/>
    <col width="14" customWidth="1" min="5" max="5"/>
    <col width="42" customWidth="1" min="6" max="6"/>
    <col width="42" customWidth="1" min="7" max="7"/>
  </cols>
  <sheetData>
    <row r="1" ht="26" customHeight="1">
      <c r="A1" s="5" t="inlineStr">
        <is>
          <t>模型逻辑复核｜关键公式与常识校验</t>
        </is>
      </c>
      <c r="B1" s="1" t="n"/>
      <c r="C1" s="1" t="n"/>
      <c r="D1" s="1" t="n"/>
      <c r="E1" s="1" t="n"/>
      <c r="F1" s="1" t="n"/>
      <c r="G1" s="1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本页用于排查常见错误：成本是否被当作收入、业主支出是否双算、服务商其他收入是否误加给业主、电费承担方是否拆分正确。</t>
        </is>
      </c>
      <c r="B2" s="1" t="n"/>
      <c r="C2" s="1" t="n"/>
      <c r="D2" s="1" t="n"/>
      <c r="E2" s="1" t="n"/>
      <c r="F2" s="1" t="n"/>
      <c r="G2" s="1" t="n"/>
    </row>
    <row r="4">
      <c r="A4" s="44" t="inlineStr">
        <is>
          <t>校验项</t>
        </is>
      </c>
      <c r="B4" s="44" t="inlineStr">
        <is>
          <t>检查公式</t>
        </is>
      </c>
      <c r="C4" s="44" t="inlineStr">
        <is>
          <t>能源托管结果</t>
        </is>
      </c>
      <c r="D4" s="44" t="inlineStr">
        <is>
          <t>LaaS结果</t>
        </is>
      </c>
      <c r="E4" s="44" t="inlineStr">
        <is>
          <t>状态</t>
        </is>
      </c>
      <c r="F4" s="44" t="inlineStr">
        <is>
          <t>错误含义</t>
        </is>
      </c>
      <c r="G4" s="44" t="inlineStr">
        <is>
          <t>修正方法</t>
        </is>
      </c>
    </row>
    <row r="5">
      <c r="A5" s="45" t="inlineStr">
        <is>
          <t>Y1服务商净现金流=收入−成本</t>
        </is>
      </c>
      <c r="B5" s="60" t="inlineStr">
        <is>
          <t>Y1净现金流应等于年度总收入−年度总现金成本</t>
        </is>
      </c>
      <c r="C5" s="60">
        <f>ABS('05_Annual_Model'!D23-('05_Annual_Model'!D21-'05_Annual_Model'!D22))&lt;1</f>
        <v/>
      </c>
      <c r="D5" s="60">
        <f>ABS('05_Annual_Model'!D50-('05_Annual_Model'!D48-'05_Annual_Model'!D49))&lt;1</f>
        <v/>
      </c>
      <c r="E5" s="60">
        <f>IF(AND(C5=TRUE,D5=TRUE),"OK","ERROR")</f>
        <v/>
      </c>
      <c r="F5" s="60" t="inlineStr">
        <is>
          <t>若不等，说明成本符号或公式引用错误</t>
        </is>
      </c>
      <c r="G5" s="60" t="inlineStr">
        <is>
          <t>检查Annual_Model服务商现金流区</t>
        </is>
      </c>
    </row>
    <row r="6">
      <c r="A6" s="45" t="inlineStr">
        <is>
          <t>Y0服务商净现金流=-初始CAPEX</t>
        </is>
      </c>
      <c r="B6" s="60" t="inlineStr">
        <is>
          <t>Y0净现金流应等于0−Y0总现金成本</t>
        </is>
      </c>
      <c r="C6" s="60">
        <f>ABS('05_Annual_Model'!C23+( '05_Annual_Model'!C12))&lt;1</f>
        <v/>
      </c>
      <c r="D6" s="60">
        <f>ABS('05_Annual_Model'!C50+('05_Annual_Model'!C39))&lt;1</f>
        <v/>
      </c>
      <c r="E6" s="60">
        <f>IF(AND(C6=TRUE,D6=TRUE),"OK","ERROR")</f>
        <v/>
      </c>
      <c r="F6" s="60" t="inlineStr">
        <is>
          <t>若不等，说明CAPEX没有在Y0扣减</t>
        </is>
      </c>
      <c r="G6" s="60" t="inlineStr">
        <is>
          <t>检查Annual_Model Y0列</t>
        </is>
      </c>
    </row>
    <row r="7">
      <c r="A7" s="45" t="inlineStr">
        <is>
          <t>成本行均为正数</t>
        </is>
      </c>
      <c r="B7" s="60" t="inlineStr">
        <is>
          <t>CAPEX/运维/平台/备件/电费成本应≥0</t>
        </is>
      </c>
      <c r="C7" s="60">
        <f>MIN('05_Annual_Model'!C12:M12,'05_Annual_Model'!C17:M20)&gt;=0</f>
        <v/>
      </c>
      <c r="D7" s="60">
        <f>MIN('05_Annual_Model'!C39:M39,'05_Annual_Model'!C44:M47)&gt;=0</f>
        <v/>
      </c>
      <c r="E7" s="60">
        <f>IF(AND(C7=TRUE,D7=TRUE),"OK","ERROR")</f>
        <v/>
      </c>
      <c r="F7" s="60" t="inlineStr">
        <is>
          <t>若为负，说明又回到了“负成本相加”的口径</t>
        </is>
      </c>
      <c r="G7" s="60" t="inlineStr">
        <is>
          <t>把成本作为正数并在净现金流中扣减</t>
        </is>
      </c>
    </row>
    <row r="8">
      <c r="A8" s="45" t="inlineStr">
        <is>
          <t>业主支出不含服务商第三方收入</t>
        </is>
      </c>
      <c r="B8" s="60" t="inlineStr">
        <is>
          <t>业主年度总支出=业主电费+服务费+保留管理成本</t>
        </is>
      </c>
      <c r="C8" s="60">
        <f>ABS('05_Annual_Model'!D34-('05_Annual_Model'!D31+'05_Annual_Model'!D32+'05_Annual_Model'!D33))&lt;1</f>
        <v/>
      </c>
      <c r="D8" s="60">
        <f>ABS('05_Annual_Model'!D61-('05_Annual_Model'!D58+'05_Annual_Model'!D59+'05_Annual_Model'!D60))&lt;1</f>
        <v/>
      </c>
      <c r="E8" s="60">
        <f>IF(AND(C8=TRUE,D8=TRUE),"OK","ERROR")</f>
        <v/>
      </c>
      <c r="F8" s="60" t="inlineStr">
        <is>
          <t>若不等，说明把服务商其他收入误算成业主支出</t>
        </is>
      </c>
      <c r="G8" s="60" t="inlineStr">
        <is>
          <t>第三方收入只进服务商收入，不进业主支出</t>
        </is>
      </c>
    </row>
    <row r="9">
      <c r="A9" s="45" t="inlineStr">
        <is>
          <t>电费承担方拆分正确</t>
        </is>
      </c>
      <c r="B9" s="60" t="inlineStr">
        <is>
          <t>服务商电费成本+业主支付电费=节电后电费总额</t>
        </is>
      </c>
      <c r="C9" s="60">
        <f>ABS(('05_Annual_Model'!D17+'05_Annual_Model'!D31)-'05_Annual_Model'!D16)&lt;1</f>
        <v/>
      </c>
      <c r="D9" s="60">
        <f>ABS(('05_Annual_Model'!D44+'05_Annual_Model'!D58)-'05_Annual_Model'!D43)&lt;1</f>
        <v/>
      </c>
      <c r="E9" s="60">
        <f>IF(AND(C9=TRUE,D9=TRUE),"OK","ERROR")</f>
        <v/>
      </c>
      <c r="F9" s="60" t="inlineStr">
        <is>
          <t>若不等，说明电费被重复计入或漏计</t>
        </is>
      </c>
      <c r="G9" s="60" t="inlineStr">
        <is>
          <t>检查服务商是否承担电费开关</t>
        </is>
      </c>
    </row>
    <row r="10">
      <c r="A10" s="45" t="inlineStr">
        <is>
          <t>累计现金流连贯</t>
        </is>
      </c>
      <c r="B10" s="60" t="inlineStr">
        <is>
          <t>Y2累计=Y1累计+Y2净现金流</t>
        </is>
      </c>
      <c r="C10" s="60">
        <f>ABS('05_Annual_Model'!E24-('05_Annual_Model'!D24+'05_Annual_Model'!E23))&lt;1</f>
        <v/>
      </c>
      <c r="D10" s="60">
        <f>ABS('05_Annual_Model'!E51-('05_Annual_Model'!D51+'05_Annual_Model'!E50))&lt;1</f>
        <v/>
      </c>
      <c r="E10" s="60">
        <f>IF(AND(C10=TRUE,D10=TRUE),"OK","ERROR")</f>
        <v/>
      </c>
      <c r="F10" s="60" t="inlineStr">
        <is>
          <t>若不等，说明累计现金流断链</t>
        </is>
      </c>
      <c r="G10" s="60" t="inlineStr">
        <is>
          <t>检查累计现金流公式</t>
        </is>
      </c>
    </row>
    <row r="11">
      <c r="A11" s="45" t="inlineStr">
        <is>
          <t>业主净节省口径正确</t>
        </is>
      </c>
      <c r="B11" s="60" t="inlineStr">
        <is>
          <t>业主净节省=不改造总成本−业主总支出</t>
        </is>
      </c>
      <c r="C11" s="60">
        <f>ABS('05_Annual_Model'!D35-('05_Annual_Model'!D8-'05_Annual_Model'!D34))&lt;1</f>
        <v/>
      </c>
      <c r="D11" s="60">
        <f>ABS('05_Annual_Model'!D62-('05_Annual_Model'!D8-'05_Annual_Model'!D61))&lt;1</f>
        <v/>
      </c>
      <c r="E11" s="60">
        <f>IF(AND(C11=TRUE,D11=TRUE),"OK","ERROR")</f>
        <v/>
      </c>
      <c r="F11" s="60" t="inlineStr">
        <is>
          <t>若不等，说明节省额口径错误</t>
        </is>
      </c>
      <c r="G11" s="60" t="inlineStr">
        <is>
          <t>检查业主侧公式</t>
        </is>
      </c>
    </row>
    <row r="12">
      <c r="A12" s="45" t="inlineStr">
        <is>
          <t>静态回收期不能早于累计现金流转正</t>
        </is>
      </c>
      <c r="B12" s="60" t="inlineStr">
        <is>
          <t>若M累计现金流&lt;0，回收期必须显示未回收</t>
        </is>
      </c>
      <c r="C12" s="60">
        <f>IF('05_Annual_Model'!M24&lt;0,'05_Annual_Model'!C28="未回收",TRUE)</f>
        <v/>
      </c>
      <c r="D12" s="60">
        <f>IF('05_Annual_Model'!M51&lt;0,'05_Annual_Model'!C55="未回收",TRUE)</f>
        <v/>
      </c>
      <c r="E12" s="60">
        <f>IF(AND(C12=TRUE,D12=TRUE),"OK","ERROR")</f>
        <v/>
      </c>
      <c r="F12" s="60" t="inlineStr">
        <is>
          <t>若错误，说明回收期引用了错误行</t>
        </is>
      </c>
      <c r="G12" s="60" t="inlineStr">
        <is>
          <t>检查回收期公式引用累计现金流行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30" customWidth="1" min="4" max="4"/>
    <col width="42" customWidth="1" min="5" max="5"/>
    <col width="30" customWidth="1" min="6" max="6"/>
  </cols>
  <sheetData>
    <row r="1" ht="26" customHeight="1">
      <c r="A1" s="5" t="inlineStr">
        <is>
          <t>计算逻辑说明｜修正版</t>
        </is>
      </c>
      <c r="B1" s="1" t="n"/>
      <c r="C1" s="1" t="n"/>
      <c r="D1" s="1" t="n"/>
      <c r="E1" s="1" t="n"/>
      <c r="F1" s="1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7" t="inlineStr">
        <is>
          <t>重点：将“业主视角”和“服务商视角”分开；将“收入、成本、节省”分开；不把成本写成负数再与收入相加。</t>
        </is>
      </c>
      <c r="B2" s="1" t="n"/>
      <c r="C2" s="1" t="n"/>
      <c r="D2" s="1" t="n"/>
      <c r="E2" s="1" t="n"/>
      <c r="F2" s="1" t="n"/>
    </row>
    <row r="4">
      <c r="A4" s="44" t="inlineStr">
        <is>
          <t>模块</t>
        </is>
      </c>
      <c r="B4" s="44" t="inlineStr">
        <is>
          <t>公式</t>
        </is>
      </c>
      <c r="C4" s="44" t="inlineStr">
        <is>
          <t>解释</t>
        </is>
      </c>
      <c r="D4" s="44" t="inlineStr">
        <is>
          <t>对应工作表</t>
        </is>
      </c>
      <c r="E4" s="44" t="inlineStr">
        <is>
          <t>常见错误</t>
        </is>
      </c>
      <c r="F4" s="44" t="inlineStr">
        <is>
          <t>可调整项</t>
        </is>
      </c>
    </row>
    <row r="5">
      <c r="A5" s="45" t="inlineStr">
        <is>
          <t>现状年用电量</t>
        </is>
      </c>
      <c r="B5" s="60" t="inlineStr">
        <is>
          <t>灯具数量×单灯功率÷1000×每日亮灯小时×年运行天数</t>
        </is>
      </c>
      <c r="C5" s="60" t="inlineStr">
        <is>
          <t>将每盏灯功率转换为kW后乘以全年运行小时。</t>
        </is>
      </c>
      <c r="D5" s="60" t="inlineStr">
        <is>
          <t>03_Baseline</t>
        </is>
      </c>
      <c r="E5" s="60" t="inlineStr">
        <is>
          <t>只用灯数但漏掉功率/时长，会导致电费无意义。</t>
        </is>
      </c>
      <c r="F5" s="60" t="inlineStr">
        <is>
          <t>灯具数量、功率、亮灯小时</t>
        </is>
      </c>
    </row>
    <row r="6">
      <c r="A6" s="45" t="inlineStr">
        <is>
          <t>基准年电费</t>
        </is>
      </c>
      <c r="B6" s="60" t="inlineStr">
        <is>
          <t>现状年用电量×电价</t>
        </is>
      </c>
      <c r="C6" s="60" t="inlineStr">
        <is>
          <t>不改造情形的电费基准。</t>
        </is>
      </c>
      <c r="D6" s="60" t="inlineStr">
        <is>
          <t>03_Baseline</t>
        </is>
      </c>
      <c r="E6" s="60" t="inlineStr">
        <is>
          <t>把节电后的电费用作基准，会高估节省。</t>
        </is>
      </c>
      <c r="F6" s="60" t="inlineStr">
        <is>
          <t>电价</t>
        </is>
      </c>
    </row>
    <row r="7">
      <c r="A7" s="45" t="inlineStr">
        <is>
          <t>基准年运维费</t>
        </is>
      </c>
      <c r="B7" s="60" t="inlineStr">
        <is>
          <t>灯具数量×现状运维单价</t>
        </is>
      </c>
      <c r="C7" s="60" t="inlineStr">
        <is>
          <t>不改造情形的运维基准。</t>
        </is>
      </c>
      <c r="D7" s="60" t="inlineStr">
        <is>
          <t>03_Baseline</t>
        </is>
      </c>
      <c r="E7" s="60" t="inlineStr">
        <is>
          <t>把服务商运维成本和业主现状运维费混用。</t>
        </is>
      </c>
      <c r="F7" s="60" t="inlineStr">
        <is>
          <t>现状运维单价</t>
        </is>
      </c>
    </row>
    <row r="8">
      <c r="A8" s="45" t="inlineStr">
        <is>
          <t>节电后电费总额</t>
        </is>
      </c>
      <c r="B8" s="60" t="inlineStr">
        <is>
          <t>基准电费×(1−综合节电率)</t>
        </is>
      </c>
      <c r="C8" s="60" t="inlineStr">
        <is>
          <t>先计算物理电费，再按承担方开关分配。</t>
        </is>
      </c>
      <c r="D8" s="60" t="inlineStr">
        <is>
          <t>04_Mode_Params / 05_Annual_Model</t>
        </is>
      </c>
      <c r="E8" s="60" t="inlineStr">
        <is>
          <t>没有区分“电费由谁付”，会导致业主/服务商双算或漏算。</t>
        </is>
      </c>
      <c r="F8" s="60" t="inlineStr">
        <is>
          <t>节电率、承担电费开关</t>
        </is>
      </c>
    </row>
    <row r="9">
      <c r="A9" s="158" t="inlineStr">
        <is>
          <t>服务商年度收入</t>
        </is>
      </c>
      <c r="B9" s="159" t="inlineStr">
        <is>
          <t>服务费/订阅费+其他/第三方收入+资产转让收入</t>
        </is>
      </c>
      <c r="C9" s="159" t="inlineStr">
        <is>
          <t>服务商收入项。默认第三方收入不计入业主支出。</t>
        </is>
      </c>
      <c r="D9" s="159" t="inlineStr">
        <is>
          <t>05_Annual_Model</t>
        </is>
      </c>
      <c r="E9" s="159" t="inlineStr">
        <is>
          <t>把第三方收入也算成业主支出，导致业主侧多算。</t>
        </is>
      </c>
      <c r="F9" s="159" t="inlineStr">
        <is>
          <t>年费、其他收入、资产转让</t>
        </is>
      </c>
    </row>
    <row r="10">
      <c r="A10" s="158" t="inlineStr">
        <is>
          <t>服务商年度现金成本</t>
        </is>
      </c>
      <c r="B10" s="159" t="inlineStr">
        <is>
          <t>CAPEX+服务商电费成本+运维成本+平台成本+备件储备</t>
        </is>
      </c>
      <c r="C10" s="159" t="inlineStr">
        <is>
          <t>所有成本均按正数列示，净现金流公式中扣减。</t>
        </is>
      </c>
      <c r="D10" s="159" t="inlineStr">
        <is>
          <t>05_Annual_Model</t>
        </is>
      </c>
      <c r="E10" s="159" t="inlineStr">
        <is>
          <t>成本用负数列示又在净现金流中扣减，会双重扣减。</t>
        </is>
      </c>
      <c r="F10" s="159" t="inlineStr">
        <is>
          <t>CAPEX、运维、平台、备件</t>
        </is>
      </c>
    </row>
    <row r="11">
      <c r="A11" s="158" t="inlineStr">
        <is>
          <t>服务商年度净现金流</t>
        </is>
      </c>
      <c r="B11" s="159" t="inlineStr">
        <is>
          <t>年度总收入−年度总现金成本</t>
        </is>
      </c>
      <c r="C11" s="159" t="inlineStr">
        <is>
          <t>Y0通常为−CAPEX，Y1-Y10为经营现金流。</t>
        </is>
      </c>
      <c r="D11" s="159" t="inlineStr">
        <is>
          <t>05_Annual_Model</t>
        </is>
      </c>
      <c r="E11" s="159" t="inlineStr">
        <is>
          <t>写成服务收入+运维成本+平台成本。</t>
        </is>
      </c>
      <c r="F11" s="159" t="inlineStr">
        <is>
          <t>所有收入成本项</t>
        </is>
      </c>
    </row>
    <row r="12">
      <c r="A12" s="45" t="inlineStr">
        <is>
          <t>业主年度总支出</t>
        </is>
      </c>
      <c r="B12" s="60" t="inlineStr">
        <is>
          <t>业主支付电费+服务费/订阅费+业主保留管理成本</t>
        </is>
      </c>
      <c r="C12" s="60" t="inlineStr">
        <is>
          <t>服务费是业主支出，不是业主收益。</t>
        </is>
      </c>
      <c r="D12" s="60" t="inlineStr">
        <is>
          <t>05_Annual_Model</t>
        </is>
      </c>
      <c r="E12" s="60" t="inlineStr">
        <is>
          <t>把服务商收入当成业主节省，或把服务商成本加给业主。</t>
        </is>
      </c>
      <c r="F12" s="60" t="inlineStr">
        <is>
          <t>年费、电费承担方、保留管理成本</t>
        </is>
      </c>
    </row>
    <row r="13">
      <c r="A13" s="45" t="inlineStr">
        <is>
          <t>业主净节省</t>
        </is>
      </c>
      <c r="B13" s="60" t="inlineStr">
        <is>
          <t>不改造基准总成本−业主年度总支出</t>
        </is>
      </c>
      <c r="C13" s="60" t="inlineStr">
        <is>
          <t>判断业主是否有采用模式的经济理由。</t>
        </is>
      </c>
      <c r="D13" s="60" t="inlineStr">
        <is>
          <t>04_Mode_Params / 05_Annual_Model</t>
        </is>
      </c>
      <c r="E13" s="60" t="inlineStr">
        <is>
          <t>只看节电金额，不扣服务费，会高估业主收益。</t>
        </is>
      </c>
      <c r="F13" s="60" t="inlineStr">
        <is>
          <t>节电率、年费</t>
        </is>
      </c>
    </row>
    <row r="14">
      <c r="A14" s="45" t="inlineStr">
        <is>
          <t>NPV</t>
        </is>
      </c>
      <c r="B14" s="60" t="inlineStr">
        <is>
          <t>NPV(折现率,Y1:Y10现金流)+Y0现金流</t>
        </is>
      </c>
      <c r="C14" s="60" t="inlineStr">
        <is>
          <t>判断服务商是否达到资金成本要求。</t>
        </is>
      </c>
      <c r="D14" s="60" t="inlineStr">
        <is>
          <t>05_Annual_Model</t>
        </is>
      </c>
      <c r="E14" s="60" t="inlineStr">
        <is>
          <t>只看静态回收而忽略资金时间价值。</t>
        </is>
      </c>
      <c r="F14" s="60" t="inlineStr">
        <is>
          <t>折现率、合同期</t>
        </is>
      </c>
    </row>
    <row r="15">
      <c r="A15" s="45" t="inlineStr">
        <is>
          <t>IRR</t>
        </is>
      </c>
      <c r="B15" s="60" t="inlineStr">
        <is>
          <t>IRR(Y0:Y10现金流)</t>
        </is>
      </c>
      <c r="C15" s="60" t="inlineStr">
        <is>
          <t>判断服务商项目内部收益率。</t>
        </is>
      </c>
      <c r="D15" s="60" t="inlineStr">
        <is>
          <t>05_Annual_Model</t>
        </is>
      </c>
      <c r="E15" s="60" t="inlineStr">
        <is>
          <t>现金流长期为负时，IRR没有经营决策意义。</t>
        </is>
      </c>
      <c r="F15" s="60" t="inlineStr">
        <is>
          <t>年费、CAPEX、成本</t>
        </is>
      </c>
    </row>
    <row r="16">
      <c r="A16" s="45" t="inlineStr">
        <is>
          <t>NPV=0所需年费</t>
        </is>
      </c>
      <c r="B16" s="60" t="inlineStr">
        <is>
          <t>CAPEX年金化+年度现金成本−其他收入</t>
        </is>
      </c>
      <c r="C16" s="60" t="inlineStr">
        <is>
          <t>反推服务商达到折现率要求的最低年费。</t>
        </is>
      </c>
      <c r="D16" s="60" t="inlineStr">
        <is>
          <t>06_Sensitivity</t>
        </is>
      </c>
      <c r="E16" s="60" t="inlineStr">
        <is>
          <t>把这个数当作业主可接受价格；它只是服务商底线。</t>
        </is>
      </c>
      <c r="F16" s="60" t="inlineStr">
        <is>
          <t>CAPEX、折现率、成本、其他收入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42" customWidth="1" min="4" max="4"/>
    <col width="32" customWidth="1" min="5" max="5"/>
  </cols>
  <sheetData>
    <row r="1" ht="26" customHeight="1">
      <c r="A1" s="5" t="inlineStr">
        <is>
          <t>术语与口径说明</t>
        </is>
      </c>
      <c r="B1" s="1" t="n"/>
      <c r="C1" s="1" t="n"/>
      <c r="D1" s="1" t="n"/>
      <c r="E1" s="1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</row>
    <row r="2" ht="22" customHeight="1">
      <c r="A2" s="6" t="n"/>
      <c r="B2" s="6" t="n"/>
      <c r="C2" s="6" t="n"/>
      <c r="D2" s="6" t="n"/>
      <c r="E2" s="6" t="n"/>
    </row>
    <row r="3">
      <c r="A3" s="44" t="inlineStr">
        <is>
          <t>术语</t>
        </is>
      </c>
      <c r="B3" s="44" t="inlineStr">
        <is>
          <t>中文解释</t>
        </is>
      </c>
      <c r="C3" s="44" t="inlineStr">
        <is>
          <t>模型口径</t>
        </is>
      </c>
      <c r="D3" s="44" t="inlineStr">
        <is>
          <t>容易混淆点</t>
        </is>
      </c>
      <c r="E3" s="44" t="inlineStr">
        <is>
          <t>建议使用场景</t>
        </is>
      </c>
    </row>
    <row r="4">
      <c r="A4" s="45" t="inlineStr">
        <is>
          <t>能源托管/EMC</t>
        </is>
      </c>
      <c r="B4" s="60" t="inlineStr">
        <is>
          <t>服务商或第三方通过节能改造与管理获得服务费或节能收益。</t>
        </is>
      </c>
      <c r="C4" s="60" t="inlineStr">
        <is>
          <t>本模型以固定服务费为主，可叠加第三方收入、资产转让收入。</t>
        </is>
      </c>
      <c r="D4" s="60" t="inlineStr">
        <is>
          <t>节电收益不一定归服务商，必须看电费承担方和合同分配。</t>
        </is>
      </c>
      <c r="E4" s="60" t="inlineStr">
        <is>
          <t>政府/业主关注节能指标、费用不增加时。</t>
        </is>
      </c>
    </row>
    <row r="5">
      <c r="A5" s="45" t="inlineStr">
        <is>
          <t>LaaS/AI订阅</t>
        </is>
      </c>
      <c r="B5" s="60" t="inlineStr">
        <is>
          <t>Lighting as a Service，强调照明能力、平台、升级、运维的一体化订阅。</t>
        </is>
      </c>
      <c r="C5" s="60" t="inlineStr">
        <is>
          <t>本模型以订阅费为主，CAPEX和平台升级成本通常高于普通托管。</t>
        </is>
      </c>
      <c r="D5" s="60" t="inlineStr">
        <is>
          <t>不是传统租赁，不只是设备使用权，还包含持续升级和服务。</t>
        </is>
      </c>
      <c r="E5" s="60" t="inlineStr">
        <is>
          <t>需要打包功能迭代、AI调光、数字运维时。</t>
        </is>
      </c>
    </row>
    <row r="6">
      <c r="A6" s="45" t="inlineStr">
        <is>
          <t>业主年度服务费预算</t>
        </is>
      </c>
      <c r="B6" s="60" t="inlineStr">
        <is>
          <t>业主每年愿意/能够支付给服务商的预算。</t>
        </is>
      </c>
      <c r="C6" s="60" t="inlineStr">
        <is>
          <t>在模型中是业主支出、服务商收入。</t>
        </is>
      </c>
      <c r="D6" s="60" t="inlineStr">
        <is>
          <t>不能把它同时当作业主投资收益。</t>
        </is>
      </c>
      <c r="E6" s="60" t="inlineStr">
        <is>
          <t>看项目付费能力。</t>
        </is>
      </c>
    </row>
    <row r="7">
      <c r="A7" s="45" t="inlineStr">
        <is>
          <t>CAPEX</t>
        </is>
      </c>
      <c r="B7" s="60" t="inlineStr">
        <is>
          <t>资本性支出，项目初始建设投入。</t>
        </is>
      </c>
      <c r="C7" s="60" t="inlineStr">
        <is>
          <t>按每盏灯CAPEX×灯具数量计算，在Y0扣减。</t>
        </is>
      </c>
      <c r="D7" s="60" t="inlineStr">
        <is>
          <t>不要把CAPEX摊销当现金流；现金流看真实资金流出。</t>
        </is>
      </c>
      <c r="E7" s="60" t="inlineStr">
        <is>
          <t>测算服务商投资压力。</t>
        </is>
      </c>
    </row>
    <row r="8">
      <c r="A8" s="45" t="inlineStr">
        <is>
          <t>年度净经营现金流</t>
        </is>
      </c>
      <c r="B8" s="60" t="inlineStr">
        <is>
          <t>不含初始CAPEX的年度经营净流入。</t>
        </is>
      </c>
      <c r="C8" s="60" t="inlineStr">
        <is>
          <t>年度收入−年度现金成本。</t>
        </is>
      </c>
      <c r="D8" s="60" t="inlineStr">
        <is>
          <t>如果成本行是正数，公式必须是减法。</t>
        </is>
      </c>
      <c r="E8" s="60" t="inlineStr">
        <is>
          <t>看每年经营是否赚钱。</t>
        </is>
      </c>
    </row>
    <row r="9">
      <c r="A9" s="45" t="inlineStr">
        <is>
          <t>年度净现金流</t>
        </is>
      </c>
      <c r="B9" s="60" t="inlineStr">
        <is>
          <t>某一年全部现金流入减全部现金流出。</t>
        </is>
      </c>
      <c r="C9" s="60" t="inlineStr">
        <is>
          <t>Y0通常为−CAPEX，Y1-Y10为经营现金流。</t>
        </is>
      </c>
      <c r="D9" s="60" t="inlineStr">
        <is>
          <t>不要把成本当收入相加。</t>
        </is>
      </c>
      <c r="E9" s="60" t="inlineStr">
        <is>
          <t>看累计回收和IRR/NPV。</t>
        </is>
      </c>
    </row>
    <row r="10">
      <c r="A10" s="45" t="inlineStr">
        <is>
          <t>业主净节省</t>
        </is>
      </c>
      <c r="B10" s="60" t="inlineStr">
        <is>
          <t>业主采用模式后相对不改造省下的钱。</t>
        </is>
      </c>
      <c r="C10" s="60" t="inlineStr">
        <is>
          <t>基准总成本−改造后业主总支出。</t>
        </is>
      </c>
      <c r="D10" s="60" t="inlineStr">
        <is>
          <t>只看节电金额不扣服务费，会高估业主收益。</t>
        </is>
      </c>
      <c r="E10" s="60" t="inlineStr">
        <is>
          <t>判断政府/业主是否接受。</t>
        </is>
      </c>
    </row>
    <row r="11">
      <c r="A11" s="45" t="inlineStr">
        <is>
          <t>NPV</t>
        </is>
      </c>
      <c r="B11" s="60" t="inlineStr">
        <is>
          <t>净现值。</t>
        </is>
      </c>
      <c r="C11" s="60" t="inlineStr">
        <is>
          <t>未来现金流按折现率折回后加总。</t>
        </is>
      </c>
      <c r="D11" s="60" t="inlineStr">
        <is>
          <t>NPV为正才说明达到折现率要求。</t>
        </is>
      </c>
      <c r="E11" s="60" t="inlineStr">
        <is>
          <t>服务商投资决策。</t>
        </is>
      </c>
    </row>
    <row r="12">
      <c r="A12" s="45" t="inlineStr">
        <is>
          <t>IRR</t>
        </is>
      </c>
      <c r="B12" s="60" t="inlineStr">
        <is>
          <t>内部收益率。</t>
        </is>
      </c>
      <c r="C12" s="60" t="inlineStr">
        <is>
          <t>使项目NPV为0的收益率。</t>
        </is>
      </c>
      <c r="D12" s="60" t="inlineStr">
        <is>
          <t>现金流未回正时解释力有限。</t>
        </is>
      </c>
      <c r="E12" s="60" t="inlineStr">
        <is>
          <t>服务商投资回报比较。</t>
        </is>
      </c>
    </row>
    <row r="13">
      <c r="A13" s="45" t="inlineStr">
        <is>
          <t>静态回收期</t>
        </is>
      </c>
      <c r="B13" s="60" t="inlineStr">
        <is>
          <t>累计现金流转正所需年份。</t>
        </is>
      </c>
      <c r="C13" s="60" t="inlineStr">
        <is>
          <t>累计现金流首次≥0的年份。</t>
        </is>
      </c>
      <c r="D13" s="60" t="inlineStr">
        <is>
          <t>不考虑资金时间价值。</t>
        </is>
      </c>
      <c r="E13" s="60" t="inlineStr">
        <is>
          <t>对外沟通直观，但不能替代NPV。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2026-04-25T15:25:02Z</dcterms:created>
  <dcterms:modified xsi:type="dcterms:W3CDTF">2026-04-25T15:25:02Z</dcterms:modified>
</cp:coreProperties>
</file>