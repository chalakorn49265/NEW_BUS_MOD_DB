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2612276.1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1802470.9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2658083.1</s:v>
      </s:c>
      <s:c r="E18" s="173">
        <s:f>C18-D18</s:f>
        <s:v>712219.8999999999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72467.8999999999</s:v>
      </s:c>
      <s:c r="E19" s="173">
        <s:f>D19-C19</s:f>
        <s:v>712219.8999999999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245700.00000000006</s:v>
      </s:c>
      <s:c r="E21" s="173">
        <s:f>C21-D21</s:f>
        <s:v>364296.99999999994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86995.47333608932</s:v>
      </s:c>
      <s:c r="E22" s="173">
        <s:f>C22-D22</s:f>
        <s:v>307241.4106480646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111093.16866473753</s:v>
      </s:c>
      <s:c r="E23" s="173">
        <s:f>C23-D23</s:f>
        <s:v>50726.91834714702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2094300.0</s:v>
      </s:c>
      <s:c r="E24" s="173">
        <s:f>D24-C24</s:f>
        <s:v>361997.0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3539400.0</s:v>
      </s:c>
      <s:c r="E25" s="173">
        <s:f>C25-D25</s:f>
        <s:v>0.0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16403599.99999997</s:v>
      </s:c>
      <s:c r="E26" s="173">
        <s:f>D26-C26</s:f>
        <s:v>2619969.99999997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8525947.237637723</s:v>
      </s:c>
      <s:c r="E27" s="173">
        <s:f>D27-C27</s:f>
        <s:v>1102901.138518272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0.7750577243918362</s:v>
      </s:c>
      <s:c r="E28" s="171">
        <s:f>D28-C28</s:f>
        <s:v>0.29534962701741607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16403599.99999997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8525947.237637723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0.7750577243918362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5.917104593998983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774.8248686514886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19.044543199669288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111093.16866473753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47611.357999173226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250000</s:v>
      </s:c>
    </s:row>
    <s:row r="47">
      <s:c r="A47" t="inlineStr">
        <s:is>
          <s:t>方案标识</s:t>
        </s:is>
      </s:c>
      <s:c r="D47" t="inlineStr">
        <s:is>
          <s:t>Tier07_TailDiscount</s:t>
        </s:is>
      </s:c>
    </s:row>
    <s:row r="48">
      <s:c r="A48" t="inlineStr">
        <s:is>
          <s:t>产品类型(product_key)</s:t>
        </s:is>
      </s:c>
      <s:c r="D48" t="inlineStr">
        <s:is>
          <s:t>AI_lightning_grid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19.04454319966929</s:v>
      </s:c>
      <s:c r="E52" s="186" t="n">
        <s:v>111093.1686647375</s:v>
      </s:c>
      <s:c r="F52" s="186" t="n">
        <s:v>47611.35799917323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19.93107947498967</s:v>
      </s:c>
      <s:c r="E53" s="186" t="n">
        <s:v>116264.6302707731</s:v>
      </s:c>
      <s:c r="F53" s="186" t="n">
        <s:v>49827.69868747418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5.910241835469203</s:v>
      </s:c>
      <s:c r="E54" s="186" t="n">
        <s:v>34476.41070690369</s:v>
      </s:c>
      <s:c r="F54" s="186" t="n">
        <s:v>14775.60458867301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2340000.0</s:v>
      </s:c>
      <s:c r="E40" s="193">
        <s:f>MAX(0,('04_Mode_Params'!$D$6*(1+'02_Inputs'!$D$16)^(2-1))-('02_Inputs'!$D$45/'02_Inputs'!$D$5))</s:f>
        <s:v>2340000.0</s:v>
      </s:c>
      <s:c r="F40" s="193">
        <s:f>MAX(0,('04_Mode_Params'!$D$6*(1+'02_Inputs'!$D$16)^(3-1))-('02_Inputs'!$D$45/'02_Inputs'!$D$5))</s:f>
        <s:v>2340000.0</s:v>
      </s:c>
      <s:c r="G40" s="193">
        <s:f>MAX(0,('04_Mode_Params'!$D$6*(1+'02_Inputs'!$D$16)^(4-1))-('02_Inputs'!$D$45/'02_Inputs'!$D$5))</s:f>
        <s:v>2340000.0</s:v>
      </s:c>
      <s:c r="H40" s="193">
        <s:f>MAX(0,('04_Mode_Params'!$D$6*(1+'02_Inputs'!$D$16)^(5-1))-('02_Inputs'!$D$45/'02_Inputs'!$D$5))</s:f>
        <s:v>2340000.0</s:v>
      </s:c>
      <s:c r="I40" s="193">
        <s:f>MAX(0,('04_Mode_Params'!$D$6*(1+'02_Inputs'!$D$16)^(6-1))-('02_Inputs'!$D$45/'02_Inputs'!$D$5))</s:f>
        <s:v>2340000.0</s:v>
      </s:c>
      <s:c r="J40" s="193">
        <s:f>MAX(0,MAX((('04_Mode_Params'!$D$6*(1+'02_Inputs'!$D$16)^(7-1))*0.2),('04_Mode_Params'!$D$6*(1+'02_Inputs'!$D$16)^(7-1))-'02_Inputs'!$D$46)-('02_Inputs'!$D$45/'02_Inputs'!$D$5))</s:f>
        <s:v>2090000.0</s:v>
      </s:c>
      <s:c r="K40" s="193">
        <s:f>MAX(0,MAX((('04_Mode_Params'!$D$6*(1+'02_Inputs'!$D$16)^(8-1))*0.2),('04_Mode_Params'!$D$6*(1+'02_Inputs'!$D$16)^(8-1))-'02_Inputs'!$D$46)-('02_Inputs'!$D$45/'02_Inputs'!$D$5))</s:f>
        <s:v>2090000.0</s:v>
      </s:c>
      <s:c r="L40" s="193">
        <s:f>MAX(0,MAX((('04_Mode_Params'!$D$6*(1+'02_Inputs'!$D$16)^(9-1))*0.2),('04_Mode_Params'!$D$6*(1+'02_Inputs'!$D$16)^(9-1))-'02_Inputs'!$D$46)-('02_Inputs'!$D$45/'02_Inputs'!$D$5))</s:f>
        <s:v>2090000.0</s:v>
      </s:c>
      <s:c r="M40" s="193">
        <s:f>MAX(0,MAX((('04_Mode_Params'!$D$6*(1+'02_Inputs'!$D$16)^(10-1))*0.2),('04_Mode_Params'!$D$6*(1+'02_Inputs'!$D$16)^(10-1))-'02_Inputs'!$D$46)-('02_Inputs'!$D$45/'02_Inputs'!$D$5))</s:f>
        <s:v>2090000.0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16403599.99999997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8525947.237637723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0.7750577243918362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5.917104593998983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318083.10000000003</s:v>
      </s:c>
      <s:c r="E58" s="193">
        <s:f>E43*(1-'04_Mode_Params'!$D$10)</s:f>
        <s:v>318083.10000000003</s:v>
      </s:c>
      <s:c r="F58" s="193">
        <s:f>F43*(1-'04_Mode_Params'!$D$10)</s:f>
        <s:v>318083.10000000003</s:v>
      </s:c>
      <s:c r="G58" s="193">
        <s:f>G43*(1-'04_Mode_Params'!$D$10)</s:f>
        <s:v>318083.10000000003</s:v>
      </s:c>
      <s:c r="H58" s="193">
        <s:f>H43*(1-'04_Mode_Params'!$D$10)</s:f>
        <s:v>318083.10000000003</s:v>
      </s:c>
      <s:c r="I58" s="193">
        <s:f>I43*(1-'04_Mode_Params'!$D$10)</s:f>
        <s:v>318083.10000000003</s:v>
      </s:c>
      <s:c r="J58" s="193">
        <s:f>J43*(1-'04_Mode_Params'!$D$10)</s:f>
        <s:v>318083.10000000003</s:v>
      </s:c>
      <s:c r="K58" s="193">
        <s:f>K43*(1-'04_Mode_Params'!$D$10)</s:f>
        <s:v>318083.10000000003</s:v>
      </s:c>
      <s:c r="L58" s="193">
        <s:f>L43*(1-'04_Mode_Params'!$D$10)</s:f>
        <s:v>318083.10000000003</s:v>
      </s:c>
      <s:c r="M58" s="193">
        <s:f>M43*(1-'04_Mode_Params'!$D$10)</s:f>
        <s:v>318083.10000000003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2340000.0</s:v>
      </s:c>
      <s:c r="E59" s="193">
        <s:f>E40</s:f>
        <s:v>2340000.0</s:v>
      </s:c>
      <s:c r="F59" s="193">
        <s:f>F40</s:f>
        <s:v>2340000.0</s:v>
      </s:c>
      <s:c r="G59" s="193">
        <s:f>G40</s:f>
        <s:v>2340000.0</s:v>
      </s:c>
      <s:c r="H59" s="193">
        <s:f>H40</s:f>
        <s:v>2340000.0</s:v>
      </s:c>
      <s:c r="I59" s="193">
        <s:f>I40</s:f>
        <s:v>2340000.0</s:v>
      </s:c>
      <s:c r="J59" s="193">
        <s:f>J40</s:f>
        <s:v>2090000.0</s:v>
      </s:c>
      <s:c r="K59" s="193">
        <s:f>K40</s:f>
        <s:v>2090000.0</s:v>
      </s:c>
      <s:c r="L59" s="193">
        <s:f>L40</s:f>
        <s:v>2090000.0</s:v>
      </s:c>
      <s:c r="M59" s="193">
        <s:f>M40</s:f>
        <s:v>2090000.0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2658083.1</s:v>
      </s:c>
      <s:c r="E61" s="195">
        <s:f>E58+E59+E60</s:f>
        <s:v>2658083.1</s:v>
      </s:c>
      <s:c r="F61" s="195">
        <s:f>F58+F59+F60</s:f>
        <s:v>2658083.1</s:v>
      </s:c>
      <s:c r="G61" s="195">
        <s:f>G58+G59+G60</s:f>
        <s:v>2658083.1</s:v>
      </s:c>
      <s:c r="H61" s="195">
        <s:f>H58+H59+H60</s:f>
        <s:v>2658083.1</s:v>
      </s:c>
      <s:c r="I61" s="195">
        <s:f>I58+I59+I60</s:f>
        <s:v>2658083.1</s:v>
      </s:c>
      <s:c r="J61" s="195">
        <s:f>J58+J59+J60</s:f>
        <s:v>2408083.1</s:v>
      </s:c>
      <s:c r="K61" s="195">
        <s:f>K58+K59+K60</s:f>
        <s:v>2408083.1</s:v>
      </s:c>
      <s:c r="L61" s="195">
        <s:f>L58+L59+L60</s:f>
        <s:v>2408083.1</s:v>
      </s:c>
      <s:c r="M61" s="195">
        <s:f>M58+M59+M60</s:f>
        <s:v>2408083.1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72467.8999999999</s:v>
      </s:c>
      <s:c r="E62" s="195">
        <s:f>E8-E61</s:f>
        <s:v>72467.8999999999</s:v>
      </s:c>
      <s:c r="F62" s="195">
        <s:f>F8-F61</s:f>
        <s:v>72467.8999999999</s:v>
      </s:c>
      <s:c r="G62" s="195">
        <s:f>G8-G61</s:f>
        <s:v>72467.8999999999</s:v>
      </s:c>
      <s:c r="H62" s="195">
        <s:f>H8-H61</s:f>
        <s:v>72467.8999999999</s:v>
      </s:c>
      <s:c r="I62" s="195">
        <s:f>I8-I61</s:f>
        <s:v>72467.8999999999</s:v>
      </s:c>
      <s:c r="J62" s="195">
        <s:f>J8-J61</s:f>
        <s:v>322467.8999999999</s:v>
      </s:c>
      <s:c r="K62" s="195">
        <s:f>K8-K61</s:f>
        <s:v>322467.8999999999</s:v>
      </s:c>
      <s:c r="L62" s="195">
        <s:f>L8-L61</s:f>
        <s:v>322467.8999999999</s:v>
      </s:c>
      <s:c r="M62" s="195">
        <s:f>M8-M61</s:f>
        <s:v>322467.8999999999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-881781.3999999999</s:v>
      </s:c>
      <s:c r="C19" s="170">
        <s:f>'03_Baseline'!$D$15-('03_Baseline'!$D$12*(1-0.45)*(1-'04_Mode_Params'!$D$10)+'04_Mode_Params'!$D$6+'02_Inputs'!$D$17)</s:f>
        <s:v>-775753.7000000002</s:v>
      </s:c>
      <s:c r="D19" s="170">
        <s:f>'03_Baseline'!$D$15-('03_Baseline'!$D$12*(1-0.5)*(1-'04_Mode_Params'!$D$10)+'04_Mode_Params'!$D$6+'02_Inputs'!$D$17)</s:f>
        <s:v>-637452.0</s:v>
      </s:c>
      <s:c r="E19" s="170">
        <s:f>'03_Baseline'!$D$15-('03_Baseline'!$D$12*(1-0.55)*(1-'04_Mode_Params'!$D$10)+'04_Mode_Params'!$D$6+'02_Inputs'!$D$17)</s:f>
        <s:v>-563698.2999999998</s:v>
      </s:c>
      <s:c r="F19" s="170">
        <s:f>'03_Baseline'!$D$15-('03_Baseline'!$D$12*(1-0.6)*(1-'04_Mode_Params'!$D$10)+'04_Mode_Params'!$D$6+'02_Inputs'!$D$17)</s:f>
        <s:v>-457670.6000000001</s:v>
      </s:c>
      <s:c r="G19" s="170">
        <s:f>'03_Baseline'!$D$15-('03_Baseline'!$D$12*(1-0.65)*(1-'04_Mode_Params'!$D$10)+'04_Mode_Params'!$D$6+'02_Inputs'!$D$17)</s:f>
        <s:v>-351642.8999999999</s:v>
      </s:c>
      <s:c r="H19" s="170">
        <s:f>'03_Baseline'!$D$15-('03_Baseline'!$D$12*(1-0.7)*(1-'04_Mode_Params'!$D$10)+'04_Mode_Params'!$D$6+'02_Inputs'!$D$17)</s:f>
        <s:v>-245615.2000000002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2026-04-27T06:05:50Z</dcterms:created>
  <dcterms:modified xsi:type="dcterms:W3CDTF">2026-04-27T06:05:50Z</dcterms:modified>
</cp:coreProperties>
</file>