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0.7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2878400.0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1439200.0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6730600.0</s:v>
      </s:c>
      <s:c r="D18" s="173">
        <s:f>'05_Annual_Model'!M51</s:f>
        <s:v>11946600.0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2959712.5361993117</s:v>
      </s:c>
      <s:c r="D19" s="173">
        <s:f>'05_Annual_Model'!C52</s:f>
        <s:v>5681936.625343474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0.2618003333030041</s:v>
      </s:c>
      <s:c r="D20" s="176">
        <s:f>'05_Annual_Model'!C53</s:f>
        <s:v>0.5275092947113129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2.901621743798384</s:v>
      </s:c>
      <s:c r="D21" s="171">
        <s:f>'05_Annual_Model'!C54</s:f>
        <s:v>4.375317850483133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707.88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2040000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0.7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36.855000000000004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214987.50000000006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92137.50000000001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Tier10_Conservative</s:t>
        </s:is>
      </s:c>
    </s:row>
    <s:row r="48">
      <s:c r="A48" t="inlineStr">
        <s:is>
          <s:t>产品类型(product_key)</s:t>
        </s:is>
      </s:c>
      <s:c r="D48" t="inlineStr">
        <s:is>
          <s:t>AI_lightning_grid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36.855</s:v>
      </s:c>
      <s:c r="E52" s="186" t="n">
        <s:v>214987.5000000001</s:v>
      </s:c>
      <s:c r="F52" s="186" t="n">
        <s:v>92137.50000000001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35.71125000000001</s:v>
      </s:c>
      <s:c r="E53" s="186" t="n">
        <s:v>208315.625</s:v>
      </s:c>
      <s:c r="F53" s="186" t="n">
        <s:v>89278.12500000001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11.4375</s:v>
      </s:c>
      <s:c r="E54" s="186" t="n">
        <s:v>66718.75000000001</s:v>
      </s:c>
      <s:c r="F54" s="186" t="n">
        <s:v>28593.75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6730600.0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2959712.5361993117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0.2618003333030041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2.901621743798384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2040000.0</s:v>
      </s:c>
      <s:c r="E40" s="193">
        <s:f>MAX(0,('04_Mode_Params'!$D$6*(1+'02_Inputs'!$D$16)^(2-1))-('02_Inputs'!$D$45/'02_Inputs'!$D$5))</s:f>
        <s:v>2040000.0</s:v>
      </s:c>
      <s:c r="F40" s="193">
        <s:f>MAX(0,('04_Mode_Params'!$D$6*(1+'02_Inputs'!$D$16)^(3-1))-('02_Inputs'!$D$45/'02_Inputs'!$D$5))</s:f>
        <s:v>2040000.0</s:v>
      </s:c>
      <s:c r="G40" s="193">
        <s:f>MAX(0,('04_Mode_Params'!$D$6*(1+'02_Inputs'!$D$16)^(4-1))-('02_Inputs'!$D$45/'02_Inputs'!$D$5))</s:f>
        <s:v>2040000.0</s:v>
      </s:c>
      <s:c r="H40" s="193">
        <s:f>MAX(0,('04_Mode_Params'!$D$6*(1+'02_Inputs'!$D$16)^(5-1))-('02_Inputs'!$D$45/'02_Inputs'!$D$5))</s:f>
        <s:v>2040000.0</s:v>
      </s:c>
      <s:c r="I40" s="193">
        <s:f>MAX(0,('04_Mode_Params'!$D$6*(1+'02_Inputs'!$D$16)^(6-1))-('02_Inputs'!$D$45/'02_Inputs'!$D$5))</s:f>
        <s:v>2040000.0</s:v>
      </s:c>
      <s:c r="J40" s="193">
        <s:f>MAX(0,MAX((('04_Mode_Params'!$D$6*(1+'02_Inputs'!$D$16)^(7-1))*0.2),('04_Mode_Params'!$D$6*(1+'02_Inputs'!$D$16)^(7-1))-'02_Inputs'!$D$46)-('02_Inputs'!$D$45/'02_Inputs'!$D$5))</s:f>
        <s:v>2040000.0</s:v>
      </s:c>
      <s:c r="K40" s="193">
        <s:f>MAX(0,MAX((('04_Mode_Params'!$D$6*(1+'02_Inputs'!$D$16)^(8-1))*0.2),('04_Mode_Params'!$D$6*(1+'02_Inputs'!$D$16)^(8-1))-'02_Inputs'!$D$46)-('02_Inputs'!$D$45/'02_Inputs'!$D$5))</s:f>
        <s:v>2040000.0</s:v>
      </s:c>
      <s:c r="L40" s="193">
        <s:f>MAX(0,MAX((('04_Mode_Params'!$D$6*(1+'02_Inputs'!$D$16)^(9-1))*0.2),('04_Mode_Params'!$D$6*(1+'02_Inputs'!$D$16)^(9-1))-'02_Inputs'!$D$46)-('02_Inputs'!$D$45/'02_Inputs'!$D$5))</s:f>
        <s:v>2040000.0</s:v>
      </s:c>
      <s:c r="M40" s="193">
        <s:f>MAX(0,MAX((('04_Mode_Params'!$D$6*(1+'02_Inputs'!$D$16)^(10-1))*0.2),('04_Mode_Params'!$D$6*(1+'02_Inputs'!$D$16)^(10-1))-'02_Inputs'!$D$46)-('02_Inputs'!$D$45/'02_Inputs'!$D$5))</s:f>
        <s:v>2040000.0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11946600.0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5681936.625343474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0.5275092947113129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4.375317850483133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616800.0000000001</s:v>
      </s:c>
      <s:c r="E58" s="193">
        <s:f>E43*(1-'04_Mode_Params'!$D$10)</s:f>
        <s:v>616800.0000000001</s:v>
      </s:c>
      <s:c r="F58" s="193">
        <s:f>F43*(1-'04_Mode_Params'!$D$10)</s:f>
        <s:v>616800.0000000001</s:v>
      </s:c>
      <s:c r="G58" s="193">
        <s:f>G43*(1-'04_Mode_Params'!$D$10)</s:f>
        <s:v>616800.0000000001</s:v>
      </s:c>
      <s:c r="H58" s="193">
        <s:f>H43*(1-'04_Mode_Params'!$D$10)</s:f>
        <s:v>616800.0000000001</s:v>
      </s:c>
      <s:c r="I58" s="193">
        <s:f>I43*(1-'04_Mode_Params'!$D$10)</s:f>
        <s:v>616800.0000000001</s:v>
      </s:c>
      <s:c r="J58" s="193">
        <s:f>J43*(1-'04_Mode_Params'!$D$10)</s:f>
        <s:v>616800.0000000001</s:v>
      </s:c>
      <s:c r="K58" s="193">
        <s:f>K43*(1-'04_Mode_Params'!$D$10)</s:f>
        <s:v>616800.0000000001</s:v>
      </s:c>
      <s:c r="L58" s="193">
        <s:f>L43*(1-'04_Mode_Params'!$D$10)</s:f>
        <s:v>616800.0000000001</s:v>
      </s:c>
      <s:c r="M58" s="193">
        <s:f>M43*(1-'04_Mode_Params'!$D$10)</s:f>
        <s:v>616800.0000000001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2040000.0</s:v>
      </s:c>
      <s:c r="E59" s="193">
        <s:f>E40</s:f>
        <s:v>2040000.0</s:v>
      </s:c>
      <s:c r="F59" s="193">
        <s:f>F40</s:f>
        <s:v>2040000.0</s:v>
      </s:c>
      <s:c r="G59" s="193">
        <s:f>G40</s:f>
        <s:v>2040000.0</s:v>
      </s:c>
      <s:c r="H59" s="193">
        <s:f>H40</s:f>
        <s:v>2040000.0</s:v>
      </s:c>
      <s:c r="I59" s="193">
        <s:f>I40</s:f>
        <s:v>2040000.0</s:v>
      </s:c>
      <s:c r="J59" s="193">
        <s:f>J40</s:f>
        <s:v>2040000.0</s:v>
      </s:c>
      <s:c r="K59" s="193">
        <s:f>K40</s:f>
        <s:v>2040000.0</s:v>
      </s:c>
      <s:c r="L59" s="193">
        <s:f>L40</s:f>
        <s:v>2040000.0</s:v>
      </s:c>
      <s:c r="M59" s="193">
        <s:f>M40</s:f>
        <s:v>2040000.0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2656800.0</s:v>
      </s:c>
      <s:c r="E61" s="195">
        <s:f>E58+E59+E60</s:f>
        <s:v>2656800.0</s:v>
      </s:c>
      <s:c r="F61" s="195">
        <s:f>F58+F59+F60</s:f>
        <s:v>2656800.0</s:v>
      </s:c>
      <s:c r="G61" s="195">
        <s:f>G58+G59+G60</s:f>
        <s:v>2656800.0</s:v>
      </s:c>
      <s:c r="H61" s="195">
        <s:f>H58+H59+H60</s:f>
        <s:v>2656800.0</s:v>
      </s:c>
      <s:c r="I61" s="195">
        <s:f>I58+I59+I60</s:f>
        <s:v>2656800.0</s:v>
      </s:c>
      <s:c r="J61" s="195">
        <s:f>J58+J59+J60</s:f>
        <s:v>2656800.0</s:v>
      </s:c>
      <s:c r="K61" s="195">
        <s:f>K58+K59+K60</s:f>
        <s:v>2656800.0</s:v>
      </s:c>
      <s:c r="L61" s="195">
        <s:f>L58+L59+L60</s:f>
        <s:v>2656800.0</s:v>
      </s:c>
      <s:c r="M61" s="195">
        <s:f>M58+M59+M60</s:f>
        <s:v>2656800.0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9200.0</s:v>
      </s:c>
      <s:c r="E62" s="195">
        <s:f>E8-E61</s:f>
        <s:v>9200.0</s:v>
      </s:c>
      <s:c r="F62" s="195">
        <s:f>F8-F61</s:f>
        <s:v>9200.0</s:v>
      </s:c>
      <s:c r="G62" s="195">
        <s:f>G8-G61</s:f>
        <s:v>9200.0</s:v>
      </s:c>
      <s:c r="H62" s="195">
        <s:f>H8-H61</s:f>
        <s:v>9200.0</s:v>
      </s:c>
      <s:c r="I62" s="195">
        <s:f>I8-I61</s:f>
        <s:v>9200.0</s:v>
      </s:c>
      <s:c r="J62" s="195">
        <s:f>J8-J61</s:f>
        <s:v>9200.0</s:v>
      </s:c>
      <s:c r="K62" s="195">
        <s:f>K8-K61</s:f>
        <s:v>9200.0</s:v>
      </s:c>
      <s:c r="L62" s="195">
        <s:f>L8-L61</s:f>
        <s:v>9200.0</s:v>
      </s:c>
      <s:c r="M62" s="195">
        <s:f>M8-M61</s:f>
        <s:v>9200.0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-607600.0</s:v>
      </s:c>
      <s:c r="C19" s="170">
        <s:f>'03_Baseline'!$D$15-('03_Baseline'!$D$12*(1-0.45)*(1-'04_Mode_Params'!$D$10)+'04_Mode_Params'!$D$6+'02_Inputs'!$D$17)</s:f>
        <s:v>-504800.0</s:v>
      </s:c>
      <s:c r="D19" s="170">
        <s:f>'03_Baseline'!$D$15-('03_Baseline'!$D$12*(1-0.5)*(1-'04_Mode_Params'!$D$10)+'04_Mode_Params'!$D$6+'02_Inputs'!$D$17)</s:f>
        <s:v>-402000.0</s:v>
      </s:c>
      <s:c r="E19" s="170">
        <s:f>'03_Baseline'!$D$15-('03_Baseline'!$D$12*(1-0.55)*(1-'04_Mode_Params'!$D$10)+'04_Mode_Params'!$D$6+'02_Inputs'!$D$17)</s:f>
        <s:v>-299200.0</s:v>
      </s:c>
      <s:c r="F19" s="170">
        <s:f>'03_Baseline'!$D$15-('03_Baseline'!$D$12*(1-0.6)*(1-'04_Mode_Params'!$D$10)+'04_Mode_Params'!$D$6+'02_Inputs'!$D$17)</s:f>
        <s:v>-196400.0</s:v>
      </s:c>
      <s:c r="G19" s="170">
        <s:f>'03_Baseline'!$D$15-('03_Baseline'!$D$12*(1-0.65)*(1-'04_Mode_Params'!$D$10)+'04_Mode_Params'!$D$6+'02_Inputs'!$D$17)</s:f>
        <s:v>-93600.0</s:v>
      </s:c>
      <s:c r="H19" s="170">
        <s:f>'03_Baseline'!$D$15-('03_Baseline'!$D$12*(1-0.7)*(1-'04_Mode_Params'!$D$10)+'04_Mode_Params'!$D$6+'02_Inputs'!$D$17)</s:f>
        <s:v>9200.0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2026-04-26T13:28:33Z</dcterms:created>
  <dcterms:modified xsi:type="dcterms:W3CDTF">2026-04-26T13:28:33Z</dcterms:modified>
</cp:coreProperties>
</file>