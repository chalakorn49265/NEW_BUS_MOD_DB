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>4568.0</s:v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>0.6900001496778997</s:v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>2120554.0</s:v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>609997.0</s:v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>2600000.0</s:v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>0.0</s:v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0.515219607706288</s:v>
      </s:c>
      <s:c r="D15" s="171">
        <s:f>'04_Mode_Params'!D8</s:f>
        <s:v>0.75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1583406.902897073</s:v>
      </s:c>
      <s:c r="D16" s="172">
        <s:f>'03_Baseline'!D10*'04_Mode_Params'!D8</s:f>
        <s:v>2304949.5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1092551.0</s:v>
      </s:c>
      <s:c r="D17" s="172">
        <s:f>'03_Baseline'!D12-'04_Mode_Params'!D9</s:f>
        <s:v>1590415.5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>3370303.0</s:v>
      </s:c>
      <s:c r="D18" s="173">
        <s:f>'04_Mode_Params'!D19</s:f>
        <s:v>2730138.5</s:v>
      </s:c>
      <s:c r="E18" s="173">
        <s:f>C18-D18</s:f>
        <s:v>640164.5</s:v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>-639752.0</s:v>
      </s:c>
      <s:c r="D19" s="173">
        <s:f>'04_Mode_Params'!D20</s:f>
        <s:v>412.5</s:v>
      </s:c>
      <s:c r="E19" s="173">
        <s:f>D19-C19</s:f>
        <s:v>640164.5</s:v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>2342300.0</s:v>
      </s:c>
      <s:c r="D20" s="173">
        <s:f>'04_Mode_Params'!D16</s:f>
        <s:v>2200000.0</s:v>
      </s:c>
      <s:c r="E20" s="173">
        <s:f>D20-C20</s:f>
        <s:v>-142300.0</s:v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>609997.0</s:v>
      </s:c>
      <s:c r="D21" s="173">
        <s:f>'04_Mode_Params'!D17</s:f>
        <s:v>409500.0</s:v>
      </s:c>
      <s:c r="E21" s="173">
        <s:f>C21-D21</s:f>
        <s:v>200497.0</s:v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>394236.8839841539</s:v>
      </s:c>
      <s:c r="D22" s="173">
        <s:f>'04_Mode_Params'!D13</s:f>
        <s:v>144992.4555601488</s:v>
      </s:c>
      <s:c r="E22" s="173">
        <s:f>C22-D22</s:f>
        <s:v>249244.4284240051</s:v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>161820.08701188455</s:v>
      </s:c>
      <s:c r="D23" s="173">
        <s:f>'04_Mode_Params'!D14+'04_Mode_Params'!D15</s:f>
        <s:v>185155.28110789583</s:v>
      </s:c>
      <s:c r="E23" s="173">
        <s:f>C23-D23</s:f>
        <s:v>-23335.194096011284</s:v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>1732303.0</s:v>
      </s:c>
      <s:c r="D24" s="173">
        <s:f>'04_Mode_Params'!D18</s:f>
        <s:v>1790500.0</s:v>
      </s:c>
      <s:c r="E24" s="173">
        <s:f>D24-C24</s:f>
        <s:v>58197.0</s:v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>3539400.0</s:v>
      </s:c>
      <s:c r="D25" s="173">
        <s:f>'04_Mode_Params'!D5</s:f>
        <s:v>3539400.0</s:v>
      </s:c>
      <s:c r="E25" s="173">
        <s:f>C25-D25</s:f>
        <s:v>0.0</s:v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>13783630.0</s:v>
      </s:c>
      <s:c r="D26" s="173">
        <s:f>'05_Annual_Model'!M51</s:f>
        <s:v>14365600.000000019</s:v>
      </s:c>
      <s:c r="E26" s="173">
        <s:f>D26-C26</s:f>
        <s:v>581970.0000000186</s:v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>7423046.099119451</s:v>
      </s:c>
      <s:c r="D27" s="173">
        <s:f>'05_Annual_Model'!C52</s:f>
        <s:v>7122361.09239151</s:v>
      </s:c>
      <s:c r="E27" s="173">
        <s:f>D27-C27</s:f>
        <s:v>-300685.00672794133</s:v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>0.4797080973744201</s:v>
      </s:c>
      <s:c r="D28" s="171">
        <s:f>'05_Annual_Model'!C53</s:f>
        <s:v>0.6355173499024576</s:v>
      </s:c>
      <s:c r="E28" s="171">
        <s:f>D28-C28</s:f>
        <s:v>0.15580925252803746</s:v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13783630.0</s:v>
      </s:c>
      <s:c r="D18" s="173">
        <s:f>'05_Annual_Model'!M51</s:f>
        <s:v>14365600.000000019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7423046.099119451</s:v>
      </s:c>
      <s:c r="D19" s="173">
        <s:f>'05_Annual_Model'!C52</s:f>
        <s:v>7122361.09239151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0.4797080973744201</s:v>
      </s:c>
      <s:c r="D20" s="176">
        <s:f>'05_Annual_Model'!C53</s:f>
        <s:v>0.6355173499024576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4.8943408487314235</s:v>
      </s:c>
      <s:c r="D21" s="171">
        <s:f>'05_Annual_Model'!C54</s:f>
        <s:v>5.058767022659207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4568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2600000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0.6900001496778997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167.5670046432707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133.536996497373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774.8248686514886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2342300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0.5152196077062881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86.30404640633843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161820.0870118845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53940.02900396152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0.0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774.8248686514886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2200000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0.75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31.74090533278214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185155.28110789583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79352.26333195536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0.0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Tier10_Conservative</s:t>
        </s:is>
      </s:c>
    </s:row>
    <s:row r="48">
      <s:c r="A48" t="inlineStr">
        <s:is>
          <s:t>产品类型(product_key)</s:t>
        </s:is>
      </s:c>
      <s:c r="D48" t="inlineStr">
        <s:is>
          <s:t>AI_lightning_grid</s:t>
        </s:is>
      </s:c>
    </s:row>
    <s:row r="49">
      <s:c r="A49" t="inlineStr">
        <s:is>
          <s:t>灯杆数量(根)</s:t>
        </s:is>
      </s:c>
      <s:c r="D49" t="n">
        <s:v>2345</s:v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774.8248686514886</s:v>
      </s:c>
      <s:c r="D52" s="186" t="n">
        <s:v>31.74090533278214</s:v>
      </s:c>
      <s:c r="E52" s="186" t="n">
        <s:v>185155.2811078958</s:v>
      </s:c>
      <s:c r="F52" s="186" t="n">
        <s:v>79352.26333195536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849.2885573270861</s:v>
      </s:c>
      <s:c r="D53" s="186" t="n">
        <s:v>30.75586502687061</s:v>
      </s:c>
      <s:c r="E53" s="186" t="n">
        <s:v>179409.2126567452</s:v>
      </s:c>
      <s:c r="F53" s="186" t="n">
        <s:v>76889.66256717652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734.5742261241385</s:v>
      </s:c>
      <s:c r="D54" s="186" t="n">
        <s:v>9.850403059115337</s:v>
      </s:c>
      <s:c r="E54" s="186" t="n">
        <s:v>57460.68451150614</s:v>
      </s:c>
      <s:c r="F54" s="186" t="n">
        <s:v>24626.00764778834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Z18"/>
  <s:sheetViews>
    <s:sheetView workbookViewId="0">
      <s:selection activeCell="A1" sqref="A1"/>
    </s:sheetView>
  </s:sheetViews>
  <s:sheetFormatPr baseColWidth="8" defaultRowHeight="15"/>
  <s:cols>
    <s:col width="24" customWidth="1" min="1" max="1"/>
    <s:col width="14" customWidth="1" min="2" max="2"/>
    <s:col width="46" customWidth="1" min="3" max="3"/>
    <s:col width="18" customWidth="1" min="4" max="4"/>
    <s:col width="34" customWidth="1" min="5" max="5"/>
    <s:col width="16" customWidth="1" min="6" max="6"/>
  </s:cols>
  <s:sheetData>
    <s:row r="1" ht="26" customHeight="1">
      <s:c r="A1" s="5" t="inlineStr">
        <s:is>
          <s:t>现状基准测算｜不改造情形</s:t>
        </s:is>
      </s:c>
      <s:c r="B1" s="1" t="n"/>
      <s:c r="C1" s="1" t="n"/>
      <s:c r="D1" s="1" t="n"/>
      <s:c r="E1" s="1" t="n"/>
      <s:c r="F1" s="1" t="n"/>
      <s:c r="G1" s="18" t="n"/>
      <s:c r="H1" s="18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所有节省额均相对于本页“不改造”基准计算。</s:t>
        </s:is>
      </s:c>
      <s:c r="B2" s="1" t="n"/>
      <s:c r="C2" s="1" t="n"/>
      <s:c r="D2" s="1" t="n"/>
      <s:c r="E2" s="1" t="n"/>
      <s:c r="F2" s="1" t="n"/>
    </s:row>
    <s:row r="4">
      <s:c r="A4" s="44" t="inlineStr">
        <s:is>
          <s:t>项目</s:t>
        </s:is>
      </s:c>
      <s:c r="B4" s="44" t="inlineStr">
        <s:is>
          <s:t>单位</s:t>
        </s:is>
      </s:c>
      <s:c r="C4" s="44" t="inlineStr">
        <s:is>
          <s:t>公式/口径</s:t>
        </s:is>
      </s:c>
      <s:c r="D4" s="44" t="inlineStr">
        <s:is>
          <s:t>计算值</s:t>
        </s:is>
      </s:c>
      <s:c r="E4" s="44" t="inlineStr">
        <s:is>
          <s:t>备注</s:t>
        </s:is>
      </s:c>
      <s:c r="F4" s="44" t="inlineStr">
        <s:is>
          <s:t>校验</s:t>
        </s:is>
      </s:c>
    </s:row>
    <s:row r="5">
      <s:c r="A5" s="45" t="inlineStr">
        <s:is>
          <s:t>灯具数量</s:t>
        </s:is>
      </s:c>
      <s:c r="B5" s="45" t="inlineStr">
        <s:is>
          <s:t>盏</s:t>
        </s:is>
      </s:c>
      <s:c r="C5" s="60" t="inlineStr">
        <s:is>
          <s:t>来自Inputs</s:t>
        </s:is>
      </s:c>
      <s:c r="D5" s="187">
        <s:f>'02_Inputs'!D6</s:f>
        <s:v/>
      </s:c>
      <s:c r="E5" s="60" t="str"/>
      <s:c r="F5" s="45" t="inlineStr">
        <s:is>
          <s:t>灯杆数量(根)</s:t>
        </s:is>
      </s:c>
      <s:c r="G5">
        <s:f>'02_Inputs'!D49</s:f>
        <s:v/>
      </s:c>
    </s:row>
    <s:row r="6">
      <s:c r="A6" s="45" t="inlineStr">
        <s:is>
          <s:t>现状单灯功率</s:t>
        </s:is>
      </s:c>
      <s:c r="B6" s="45" t="inlineStr">
        <s:is>
          <s:t>W/盏</s:t>
        </s:is>
      </s:c>
      <s:c r="C6" s="60" t="inlineStr">
        <s:is>
          <s:t>来自Inputs</s:t>
        </s:is>
      </s:c>
      <s:c r="D6" s="187">
        <s:f>'02_Inputs'!D9</s:f>
        <s:v/>
      </s:c>
      <s:c r="E6" s="60" t="str"/>
      <s:c r="F6" s="45" t="str"/>
    </s:row>
    <s:row r="7">
      <s:c r="A7" s="45" t="inlineStr">
        <s:is>
          <s:t>每日亮灯小时</s:t>
        </s:is>
      </s:c>
      <s:c r="B7" s="45" t="inlineStr">
        <s:is>
          <s:t>小时/天</s:t>
        </s:is>
      </s:c>
      <s:c r="C7" s="60" t="inlineStr">
        <s:is>
          <s:t>来自Inputs</s:t>
        </s:is>
      </s:c>
      <s:c r="D7" s="187">
        <s:f>'02_Inputs'!D10</s:f>
        <s:v/>
      </s:c>
      <s:c r="E7" s="60" t="str"/>
      <s:c r="F7" s="45" t="str"/>
    </s:row>
    <s:row r="8">
      <s:c r="A8" s="45" t="inlineStr">
        <s:is>
          <s:t>年运行天数</s:t>
        </s:is>
      </s:c>
      <s:c r="B8" s="45" t="inlineStr">
        <s:is>
          <s:t>天/年</s:t>
        </s:is>
      </s:c>
      <s:c r="C8" s="60" t="inlineStr">
        <s:is>
          <s:t>来自Inputs</s:t>
        </s:is>
      </s:c>
      <s:c r="D8" s="187">
        <s:f>'02_Inputs'!D11</s:f>
        <s:v/>
      </s:c>
      <s:c r="E8" s="60" t="str"/>
      <s:c r="F8" s="45" t="str"/>
    </s:row>
    <s:row r="9">
      <s:c r="A9" s="45" t="inlineStr">
        <s:is>
          <s:t>年运行小时</s:t>
        </s:is>
      </s:c>
      <s:c r="B9" s="45" t="inlineStr">
        <s:is>
          <s:t>小时/年</s:t>
        </s:is>
      </s:c>
      <s:c r="C9" s="60" t="inlineStr">
        <s:is>
          <s:t>每日亮灯小时×年运行天数</s:t>
        </s:is>
      </s:c>
      <s:c r="D9" s="187">
        <s:f>D7*D8</s:f>
        <s:v/>
      </s:c>
      <s:c r="E9" s="60" t="str"/>
      <s:c r="F9" s="45" t="str"/>
    </s:row>
    <s:row r="10">
      <s:c r="A10" s="45" t="inlineStr">
        <s:is>
          <s:t>现状年用电量</s:t>
        </s:is>
      </s:c>
      <s:c r="B10" s="45" t="inlineStr">
        <s:is>
          <s:t>kWh/年</s:t>
        </s:is>
      </s:c>
      <s:c r="C10" s="60" t="inlineStr">
        <s:is>
          <s:t>灯具数量×单灯功率÷1000×年运行小时</s:t>
        </s:is>
      </s:c>
      <s:c r="D10" s="187">
        <s:f>D5*D6/1000*D9</s:f>
        <s:v>3073266.0</s:v>
      </s:c>
      <s:c r="E10" s="60" t="str"/>
      <s:c r="F10" s="45" t="str"/>
    </s:row>
    <s:row r="11">
      <s:c r="A11" s="45" t="inlineStr">
        <s:is>
          <s:t>电价</s:t>
        </s:is>
      </s:c>
      <s:c r="B11" s="45" t="inlineStr">
        <s:is>
          <s:t>元/kWh</s:t>
        </s:is>
      </s:c>
      <s:c r="C11" s="60" t="inlineStr">
        <s:is>
          <s:t>来自Inputs</s:t>
        </s:is>
      </s:c>
      <s:c r="D11" s="188">
        <s:f>'02_Inputs'!D8</s:f>
        <s:v>0.6900001496778997</s:v>
      </s:c>
      <s:c r="E11" s="60" t="str"/>
      <s:c r="F11" s="45" t="str"/>
    </s:row>
    <s:row r="12">
      <s:c r="A12" s="45" t="inlineStr">
        <s:is>
          <s:t>基准年电费</s:t>
        </s:is>
      </s:c>
      <s:c r="B12" s="45" t="inlineStr">
        <s:is>
          <s:t>元/年</s:t>
        </s:is>
      </s:c>
      <s:c r="C12" s="60" t="inlineStr">
        <s:is>
          <s:t>现状年用电量×电价</s:t>
        </s:is>
      </s:c>
      <s:c r="D12" s="189">
        <s:f>D10*D11</s:f>
        <s:v>2120554.0</s:v>
      </s:c>
      <s:c r="E12" s="60" t="str"/>
      <s:c r="F12" s="45" t="str"/>
    </s:row>
    <s:row r="13">
      <s:c r="A13" s="45" t="inlineStr">
        <s:is>
          <s:t>现状运维单价</s:t>
        </s:is>
      </s:c>
      <s:c r="B13" s="45" t="inlineStr">
        <s:is>
          <s:t>元/盏/年</s:t>
        </s:is>
      </s:c>
      <s:c r="C13" s="60" t="inlineStr">
        <s:is>
          <s:t>来自Inputs</s:t>
        </s:is>
      </s:c>
      <s:c r="D13" s="189">
        <s:f>'02_Inputs'!D12</s:f>
        <s:v>133.53699649737302</s:v>
      </s:c>
      <s:c r="E13" s="60" t="str"/>
      <s:c r="F13" s="45" t="str"/>
    </s:row>
    <s:row r="14">
      <s:c r="A14" s="45" t="inlineStr">
        <s:is>
          <s:t>基准年运维费</s:t>
        </s:is>
      </s:c>
      <s:c r="B14" s="45" t="inlineStr">
        <s:is>
          <s:t>元/年</s:t>
        </s:is>
      </s:c>
      <s:c r="C14" s="60" t="inlineStr">
        <s:is>
          <s:t>灯具数量×现状运维单价</s:t>
        </s:is>
      </s:c>
      <s:c r="D14" s="189">
        <s:f>D5*D13</s:f>
        <s:v>609997.0</s:v>
      </s:c>
      <s:c r="E14" s="60" t="str"/>
      <s:c r="F14" s="45" t="str"/>
    </s:row>
    <s:row r="15">
      <s:c r="A15" s="79" t="inlineStr">
        <s:is>
          <s:t>基准年总成本</s:t>
        </s:is>
      </s:c>
      <s:c r="B15" s="79" t="inlineStr">
        <s:is>
          <s:t>元/年</s:t>
        </s:is>
      </s:c>
      <s:c r="C15" s="89" t="inlineStr">
        <s:is>
          <s:t>基准年电费+基准年运维费</s:t>
        </s:is>
      </s:c>
      <s:c r="D15" s="190">
        <s:f>D12+D14</s:f>
        <s:v>2730551.0</s:v>
      </s:c>
      <s:c r="E15" s="89" t="str"/>
      <s:c r="F15" s="79" t="str"/>
    </s:row>
    <s:row r="16">
      <s:c r="A16" s="79" t="inlineStr">
        <s:is>
          <s:t>业主年度服务费预算</s:t>
        </s:is>
      </s:c>
      <s:c r="B16" s="79" t="inlineStr">
        <s:is>
          <s:t>元/年</s:t>
        </s:is>
      </s:c>
      <s:c r="C16" s="89" t="inlineStr">
        <s:is>
          <s:t>来自Inputs</s:t>
        </s:is>
      </s:c>
      <s:c r="D16" s="190">
        <s:f>'02_Inputs'!D7</s:f>
        <s:v/>
      </s:c>
      <s:c r="E16" s="89" t="str"/>
      <s:c r="F16" s="79" t="str"/>
    </s:row>
    <s:row r="17">
      <s:c r="A17" s="79" t="inlineStr">
        <s:is>
          <s:t>10年业主预算总额</s:t>
        </s:is>
      </s:c>
      <s:c r="B17" s="79" t="inlineStr">
        <s:is>
          <s:t>元</s:t>
        </s:is>
      </s:c>
      <s:c r="C17" s="89" t="inlineStr">
        <s:is>
          <s:t>年度预算×模型期</s:t>
        </s:is>
      </s:c>
      <s:c r="D17" s="190">
        <s:f>D16*'02_Inputs'!D5</s:f>
        <s:v/>
      </s:c>
      <s:c r="E17" s="89" t="str"/>
      <s:c r="F17" s="79" t="str"/>
    </s:row>
    <s:row r="18">
      <s:c r="A18" s="79" t="inlineStr">
        <s:is>
          <s:t>10年不改造总成本</s:t>
        </s:is>
      </s:c>
      <s:c r="B18" s="79" t="inlineStr">
        <s:is>
          <s:t>元</s:t>
        </s:is>
      </s:c>
      <s:c r="C18" s="89" t="inlineStr">
        <s:is>
          <s:t>年度基准总成本合计，考虑增长率</s:t>
        </s:is>
      </s:c>
      <s:c r="D18" s="190">
        <s:f>SUM('05_Annual_Model'!D8:M8)</s:f>
        <s:v/>
      </s:c>
      <s:c r="E18" s="89" t="str"/>
      <s:c r="F18" s="79" t="str"/>
    </s:row>
  </s:sheetData>
  <s:mergeCells count="2">
    <s:mergeCell ref="A2:F2"/>
    <s:mergeCell ref="A1:F1"/>
  </s:mergeCells>
  <s:pageMargins left="0.7" right="0.7" top="0.75" bottom="0.75" header="0.3" footer="0.3"/>
</s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13783630.0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7423046.099119451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0.4797080973744201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4.8943408487314235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1028003.0</s:v>
      </s:c>
      <s:c r="E31" s="193">
        <s:f>E16*(1-'04_Mode_Params'!$C$10)</s:f>
        <s:v>1028003.0</s:v>
      </s:c>
      <s:c r="F31" s="193">
        <s:f>F16*(1-'04_Mode_Params'!$C$10)</s:f>
        <s:v>1028003.0</s:v>
      </s:c>
      <s:c r="G31" s="193">
        <s:f>G16*(1-'04_Mode_Params'!$C$10)</s:f>
        <s:v>1028003.0</s:v>
      </s:c>
      <s:c r="H31" s="193">
        <s:f>H16*(1-'04_Mode_Params'!$C$10)</s:f>
        <s:v>1028003.0</s:v>
      </s:c>
      <s:c r="I31" s="193">
        <s:f>I16*(1-'04_Mode_Params'!$C$10)</s:f>
        <s:v>1028003.0</s:v>
      </s:c>
      <s:c r="J31" s="193">
        <s:f>J16*(1-'04_Mode_Params'!$C$10)</s:f>
        <s:v>1028003.0</s:v>
      </s:c>
      <s:c r="K31" s="193">
        <s:f>K16*(1-'04_Mode_Params'!$C$10)</s:f>
        <s:v>1028003.0</s:v>
      </s:c>
      <s:c r="L31" s="193">
        <s:f>L16*(1-'04_Mode_Params'!$C$10)</s:f>
        <s:v>1028003.0</s:v>
      </s:c>
      <s:c r="M31" s="193">
        <s:f>M16*(1-'04_Mode_Params'!$C$10)</s:f>
        <s:v>1028003.0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2342300.0</s:v>
      </s:c>
      <s:c r="E32" s="193">
        <s:f>E13</s:f>
        <s:v>2342300.0</s:v>
      </s:c>
      <s:c r="F32" s="193">
        <s:f>F13</s:f>
        <s:v>2342300.0</s:v>
      </s:c>
      <s:c r="G32" s="193">
        <s:f>G13</s:f>
        <s:v>2342300.0</s:v>
      </s:c>
      <s:c r="H32" s="193">
        <s:f>H13</s:f>
        <s:v>2342300.0</s:v>
      </s:c>
      <s:c r="I32" s="193">
        <s:f>I13</s:f>
        <s:v>2342300.0</s:v>
      </s:c>
      <s:c r="J32" s="193">
        <s:f>J13</s:f>
        <s:v>2342300.0</s:v>
      </s:c>
      <s:c r="K32" s="193">
        <s:f>K13</s:f>
        <s:v>2342300.0</s:v>
      </s:c>
      <s:c r="L32" s="193">
        <s:f>L13</s:f>
        <s:v>2342300.0</s:v>
      </s:c>
      <s:c r="M32" s="193">
        <s:f>M13</s:f>
        <s:v>2342300.0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3370303.0</s:v>
      </s:c>
      <s:c r="E34" s="195">
        <s:f>E31+E32+E33</s:f>
        <s:v>3370303.0</s:v>
      </s:c>
      <s:c r="F34" s="195">
        <s:f>F31+F32+F33</s:f>
        <s:v>3370303.0</s:v>
      </s:c>
      <s:c r="G34" s="195">
        <s:f>G31+G32+G33</s:f>
        <s:v>3370303.0</s:v>
      </s:c>
      <s:c r="H34" s="195">
        <s:f>H31+H32+H33</s:f>
        <s:v>3370303.0</s:v>
      </s:c>
      <s:c r="I34" s="195">
        <s:f>I31+I32+I33</s:f>
        <s:v>3370303.0</s:v>
      </s:c>
      <s:c r="J34" s="195">
        <s:f>J31+J32+J33</s:f>
        <s:v>3370303.0</s:v>
      </s:c>
      <s:c r="K34" s="195">
        <s:f>K31+K32+K33</s:f>
        <s:v>3370303.0</s:v>
      </s:c>
      <s:c r="L34" s="195">
        <s:f>L31+L32+L33</s:f>
        <s:v>3370303.0</s:v>
      </s:c>
      <s:c r="M34" s="195">
        <s:f>M31+M32+M33</s:f>
        <s:v>3370303.0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-639752.0</s:v>
      </s:c>
      <s:c r="E35" s="195">
        <s:f>E8-E34</s:f>
        <s:v>-639752.0</s:v>
      </s:c>
      <s:c r="F35" s="195">
        <s:f>F8-F34</s:f>
        <s:v>-639752.0</s:v>
      </s:c>
      <s:c r="G35" s="195">
        <s:f>G8-G34</s:f>
        <s:v>-639752.0</s:v>
      </s:c>
      <s:c r="H35" s="195">
        <s:f>H8-H34</s:f>
        <s:v>-639752.0</s:v>
      </s:c>
      <s:c r="I35" s="195">
        <s:f>I8-I34</s:f>
        <s:v>-639752.0</s:v>
      </s:c>
      <s:c r="J35" s="195">
        <s:f>J8-J34</s:f>
        <s:v>-639752.0</s:v>
      </s:c>
      <s:c r="K35" s="195">
        <s:f>K8-K34</s:f>
        <s:v>-639752.0</s:v>
      </s:c>
      <s:c r="L35" s="195">
        <s:f>L8-L34</s:f>
        <s:v>-639752.0</s:v>
      </s:c>
      <s:c r="M35" s="195">
        <s:f>M8-M34</s:f>
        <s:v>-639752.0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2200000.0</s:v>
      </s:c>
      <s:c r="E40" s="193">
        <s:f>MAX(0,('04_Mode_Params'!$D$6*(1+'02_Inputs'!$D$16)^(2-1))-('02_Inputs'!$D$45/'02_Inputs'!$D$5))</s:f>
        <s:v>2200000.0</s:v>
      </s:c>
      <s:c r="F40" s="193">
        <s:f>MAX(0,('04_Mode_Params'!$D$6*(1+'02_Inputs'!$D$16)^(3-1))-('02_Inputs'!$D$45/'02_Inputs'!$D$5))</s:f>
        <s:v>2200000.0</s:v>
      </s:c>
      <s:c r="G40" s="193">
        <s:f>MAX(0,('04_Mode_Params'!$D$6*(1+'02_Inputs'!$D$16)^(4-1))-('02_Inputs'!$D$45/'02_Inputs'!$D$5))</s:f>
        <s:v>2200000.0</s:v>
      </s:c>
      <s:c r="H40" s="193">
        <s:f>MAX(0,('04_Mode_Params'!$D$6*(1+'02_Inputs'!$D$16)^(5-1))-('02_Inputs'!$D$45/'02_Inputs'!$D$5))</s:f>
        <s:v>2200000.0</s:v>
      </s:c>
      <s:c r="I40" s="193">
        <s:f>MAX(0,('04_Mode_Params'!$D$6*(1+'02_Inputs'!$D$16)^(6-1))-('02_Inputs'!$D$45/'02_Inputs'!$D$5))</s:f>
        <s:v>2200000.0</s:v>
      </s:c>
      <s:c r="J40" s="193">
        <s:f>MAX(0,MAX((('04_Mode_Params'!$D$6*(1+'02_Inputs'!$D$16)^(7-1))*0.2),('04_Mode_Params'!$D$6*(1+'02_Inputs'!$D$16)^(7-1))-'02_Inputs'!$D$46)-('02_Inputs'!$D$45/'02_Inputs'!$D$5))</s:f>
        <s:v>2200000.0</s:v>
      </s:c>
      <s:c r="K40" s="193">
        <s:f>MAX(0,MAX((('04_Mode_Params'!$D$6*(1+'02_Inputs'!$D$16)^(8-1))*0.2),('04_Mode_Params'!$D$6*(1+'02_Inputs'!$D$16)^(8-1))-'02_Inputs'!$D$46)-('02_Inputs'!$D$45/'02_Inputs'!$D$5))</s:f>
        <s:v>2200000.0</s:v>
      </s:c>
      <s:c r="L40" s="193">
        <s:f>MAX(0,MAX((('04_Mode_Params'!$D$6*(1+'02_Inputs'!$D$16)^(9-1))*0.2),('04_Mode_Params'!$D$6*(1+'02_Inputs'!$D$16)^(9-1))-'02_Inputs'!$D$46)-('02_Inputs'!$D$45/'02_Inputs'!$D$5))</s:f>
        <s:v>2200000.0</s:v>
      </s:c>
      <s:c r="M40" s="193">
        <s:f>MAX(0,MAX((('04_Mode_Params'!$D$6*(1+'02_Inputs'!$D$16)^(10-1))*0.2),('04_Mode_Params'!$D$6*(1+'02_Inputs'!$D$16)^(10-1))-'02_Inputs'!$D$46)-('02_Inputs'!$D$45/'02_Inputs'!$D$5))</s:f>
        <s:v>2200000.0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14365600.000000019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7122361.09239151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0.6355173499024576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5.058767022659207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530138.5</s:v>
      </s:c>
      <s:c r="E58" s="193">
        <s:f>E43*(1-'04_Mode_Params'!$D$10)</s:f>
        <s:v>530138.5</s:v>
      </s:c>
      <s:c r="F58" s="193">
        <s:f>F43*(1-'04_Mode_Params'!$D$10)</s:f>
        <s:v>530138.5</s:v>
      </s:c>
      <s:c r="G58" s="193">
        <s:f>G43*(1-'04_Mode_Params'!$D$10)</s:f>
        <s:v>530138.5</s:v>
      </s:c>
      <s:c r="H58" s="193">
        <s:f>H43*(1-'04_Mode_Params'!$D$10)</s:f>
        <s:v>530138.5</s:v>
      </s:c>
      <s:c r="I58" s="193">
        <s:f>I43*(1-'04_Mode_Params'!$D$10)</s:f>
        <s:v>530138.5</s:v>
      </s:c>
      <s:c r="J58" s="193">
        <s:f>J43*(1-'04_Mode_Params'!$D$10)</s:f>
        <s:v>530138.5</s:v>
      </s:c>
      <s:c r="K58" s="193">
        <s:f>K43*(1-'04_Mode_Params'!$D$10)</s:f>
        <s:v>530138.5</s:v>
      </s:c>
      <s:c r="L58" s="193">
        <s:f>L43*(1-'04_Mode_Params'!$D$10)</s:f>
        <s:v>530138.5</s:v>
      </s:c>
      <s:c r="M58" s="193">
        <s:f>M43*(1-'04_Mode_Params'!$D$10)</s:f>
        <s:v>530138.5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2200000.0</s:v>
      </s:c>
      <s:c r="E59" s="193">
        <s:f>E40</s:f>
        <s:v>2200000.0</s:v>
      </s:c>
      <s:c r="F59" s="193">
        <s:f>F40</s:f>
        <s:v>2200000.0</s:v>
      </s:c>
      <s:c r="G59" s="193">
        <s:f>G40</s:f>
        <s:v>2200000.0</s:v>
      </s:c>
      <s:c r="H59" s="193">
        <s:f>H40</s:f>
        <s:v>2200000.0</s:v>
      </s:c>
      <s:c r="I59" s="193">
        <s:f>I40</s:f>
        <s:v>2200000.0</s:v>
      </s:c>
      <s:c r="J59" s="193">
        <s:f>J40</s:f>
        <s:v>2200000.0</s:v>
      </s:c>
      <s:c r="K59" s="193">
        <s:f>K40</s:f>
        <s:v>2200000.0</s:v>
      </s:c>
      <s:c r="L59" s="193">
        <s:f>L40</s:f>
        <s:v>2200000.0</s:v>
      </s:c>
      <s:c r="M59" s="193">
        <s:f>M40</s:f>
        <s:v>2200000.0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2730138.5</s:v>
      </s:c>
      <s:c r="E61" s="195">
        <s:f>E58+E59+E60</s:f>
        <s:v>2730138.5</s:v>
      </s:c>
      <s:c r="F61" s="195">
        <s:f>F58+F59+F60</s:f>
        <s:v>2730138.5</s:v>
      </s:c>
      <s:c r="G61" s="195">
        <s:f>G58+G59+G60</s:f>
        <s:v>2730138.5</s:v>
      </s:c>
      <s:c r="H61" s="195">
        <s:f>H58+H59+H60</s:f>
        <s:v>2730138.5</s:v>
      </s:c>
      <s:c r="I61" s="195">
        <s:f>I58+I59+I60</s:f>
        <s:v>2730138.5</s:v>
      </s:c>
      <s:c r="J61" s="195">
        <s:f>J58+J59+J60</s:f>
        <s:v>2730138.5</s:v>
      </s:c>
      <s:c r="K61" s="195">
        <s:f>K58+K59+K60</s:f>
        <s:v>2730138.5</s:v>
      </s:c>
      <s:c r="L61" s="195">
        <s:f>L58+L59+L60</s:f>
        <s:v>2730138.5</s:v>
      </s:c>
      <s:c r="M61" s="195">
        <s:f>M58+M59+M60</s:f>
        <s:v>2730138.5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412.5</s:v>
      </s:c>
      <s:c r="E62" s="195">
        <s:f>E8-E61</s:f>
        <s:v>412.5</s:v>
      </s:c>
      <s:c r="F62" s="195">
        <s:f>F8-F61</s:f>
        <s:v>412.5</s:v>
      </s:c>
      <s:c r="G62" s="195">
        <s:f>G8-G61</s:f>
        <s:v>412.5</s:v>
      </s:c>
      <s:c r="H62" s="195">
        <s:f>H8-H61</s:f>
        <s:v>412.5</s:v>
      </s:c>
      <s:c r="I62" s="195">
        <s:f>I8-I61</s:f>
        <s:v>412.5</s:v>
      </s:c>
      <s:c r="J62" s="195">
        <s:f>J8-J61</s:f>
        <s:v>412.5</s:v>
      </s:c>
      <s:c r="K62" s="195">
        <s:f>K8-K61</s:f>
        <s:v>412.5</s:v>
      </s:c>
      <s:c r="L62" s="195">
        <s:f>L8-L61</s:f>
        <s:v>412.5</s:v>
      </s:c>
      <s:c r="M62" s="195">
        <s:f>M8-M61</s:f>
        <s:v>412.5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-741781.3999999999</s:v>
      </s:c>
      <s:c r="C19" s="170">
        <s:f>'03_Baseline'!$D$15-('03_Baseline'!$D$12*(1-0.45)*(1-'04_Mode_Params'!$D$10)+'04_Mode_Params'!$D$6+'02_Inputs'!$D$17)</s:f>
        <s:v>-635753.7000000002</s:v>
      </s:c>
      <s:c r="D19" s="170">
        <s:f>'03_Baseline'!$D$15-('03_Baseline'!$D$12*(1-0.5)*(1-'04_Mode_Params'!$D$10)+'04_Mode_Params'!$D$6+'02_Inputs'!$D$17)</s:f>
        <s:v>-497452.0</s:v>
      </s:c>
      <s:c r="E19" s="170">
        <s:f>'03_Baseline'!$D$15-('03_Baseline'!$D$12*(1-0.55)*(1-'04_Mode_Params'!$D$10)+'04_Mode_Params'!$D$6+'02_Inputs'!$D$17)</s:f>
        <s:v>-423698.2999999998</s:v>
      </s:c>
      <s:c r="F19" s="170">
        <s:f>'03_Baseline'!$D$15-('03_Baseline'!$D$12*(1-0.6)*(1-'04_Mode_Params'!$D$10)+'04_Mode_Params'!$D$6+'02_Inputs'!$D$17)</s:f>
        <s:v>-317670.6000000001</s:v>
      </s:c>
      <s:c r="G19" s="170">
        <s:f>'03_Baseline'!$D$15-('03_Baseline'!$D$12*(1-0.65)*(1-'04_Mode_Params'!$D$10)+'04_Mode_Params'!$D$6+'02_Inputs'!$D$17)</s:f>
        <s:v>-211642.8999999999</s:v>
      </s:c>
      <s:c r="H19" s="170">
        <s:f>'03_Baseline'!$D$15-('03_Baseline'!$D$12*(1-0.7)*(1-'04_Mode_Params'!$D$10)+'04_Mode_Params'!$D$6+'02_Inputs'!$D$17)</s:f>
        <s:v>-105615.20000000019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2026-04-27T04:47:18Z</dcterms:created>
  <dcterms:modified xsi:type="dcterms:W3CDTF">2026-04-27T04:47:19Z</dcterms:modified>
</cp:coreProperties>
</file>