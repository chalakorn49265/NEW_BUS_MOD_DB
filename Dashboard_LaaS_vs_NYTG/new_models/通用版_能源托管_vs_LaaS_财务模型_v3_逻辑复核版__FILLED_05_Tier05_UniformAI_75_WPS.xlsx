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/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/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/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/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/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/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</s:v>
      </s:c>
      <s:c r="D15" s="171">
        <s:f>'04_Mode_Params'!D8</s:f>
        <s:v>0.75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2056000.0</s:v>
      </s:c>
      <s:c r="D16" s="172">
        <s:f>'03_Baseline'!D10*'04_Mode_Params'!D8</s:f>
        <s:v>3084000.0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1028000.0</s:v>
      </s:c>
      <s:c r="D17" s="172">
        <s:f>'03_Baseline'!D12-'04_Mode_Params'!D9</s:f>
        <s:v>1542000.0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/>
      </s:c>
      <s:c r="D18" s="173">
        <s:f>'04_Mode_Params'!D19</s:f>
        <s:v/>
      </s:c>
      <s:c r="E18" s="173">
        <s:f>C18-D18</s:f>
        <s:v/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/>
      </s:c>
      <s:c r="D19" s="173">
        <s:f>'04_Mode_Params'!D20</s:f>
        <s:v/>
      </s:c>
      <s:c r="E19" s="173">
        <s:f>D19-C19</s:f>
        <s:v/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/>
      </s:c>
      <s:c r="D20" s="173">
        <s:f>'04_Mode_Params'!D16</s:f>
        <s:v/>
      </s:c>
      <s:c r="E20" s="173">
        <s:f>D20-C20</s:f>
        <s:v/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/>
      </s:c>
      <s:c r="D21" s="173">
        <s:f>'04_Mode_Params'!D17</s:f>
        <s:v/>
      </s:c>
      <s:c r="E21" s="173">
        <s:f>C21-D21</s:f>
        <s:v/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/>
      </s:c>
      <s:c r="D22" s="173">
        <s:f>'04_Mode_Params'!D13</s:f>
        <s:v/>
      </s:c>
      <s:c r="E22" s="173">
        <s:f>C22-D22</s:f>
        <s:v/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/>
      </s:c>
      <s:c r="D23" s="173">
        <s:f>'04_Mode_Params'!D14+'04_Mode_Params'!D15</s:f>
        <s:v/>
      </s:c>
      <s:c r="E23" s="173">
        <s:f>C23-D23</s:f>
        <s:v/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/>
      </s:c>
      <s:c r="D24" s="173">
        <s:f>'04_Mode_Params'!D18</s:f>
        <s:v/>
      </s:c>
      <s:c r="E24" s="173">
        <s:f>D24-C24</s:f>
        <s:v/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/>
      </s:c>
      <s:c r="D25" s="173">
        <s:f>'04_Mode_Params'!D5</s:f>
        <s:v/>
      </s:c>
      <s:c r="E25" s="173">
        <s:f>C25-D25</s:f>
        <s:v/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/>
      </s:c>
      <s:c r="D26" s="173">
        <s:f>'05_Annual_Model'!M51</s:f>
        <s:v/>
      </s:c>
      <s:c r="E26" s="173">
        <s:f>D26-C26</s:f>
        <s:v/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/>
      </s:c>
      <s:c r="D27" s="173">
        <s:f>'05_Annual_Model'!C52</s:f>
        <s:v/>
      </s:c>
      <s:c r="E27" s="173">
        <s:f>D27-C27</s:f>
        <s:v/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/>
      </s:c>
      <s:c r="D28" s="171">
        <s:f>'05_Annual_Model'!C53</s:f>
        <s:v/>
      </s:c>
      <s:c r="E28" s="171">
        <s:f>D28-C28</s:f>
        <s:v/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6730600.0</s:v>
      </s:c>
      <s:c r="D18" s="173">
        <s:f>'05_Annual_Model'!M51</s:f>
        <s:v>13992683.333333308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2959712.5361993117</s:v>
      </s:c>
      <s:c r="D19" s="173">
        <s:f>'05_Annual_Model'!C52</s:f>
        <s:v>6900303.097006362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0.2618003333030041</s:v>
      </s:c>
      <s:c r="D20" s="176">
        <s:f>'05_Annual_Model'!C53</s:f>
        <s:v>0.6185554930912045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2.901621743798384</s:v>
      </s:c>
      <s:c r="D21" s="171">
        <s:f>'05_Annual_Model'!C54</s:f>
        <s:v>4.519102150104253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5000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2342300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0.5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204.8318804483188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122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707.88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1637000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81.33333333333333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152500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50833.33333333333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775.9100259740259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2150000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0.75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29.759375000000002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173596.3541666667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74398.4375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Tier05_UniformAI_75</s:t>
        </s:is>
      </s:c>
    </s:row>
    <s:row r="48">
      <s:c r="A48" t="inlineStr">
        <s:is>
          <s:t>产品类型(product_key)</s:t>
        </s:is>
      </s:c>
      <s:c r="D48" t="inlineStr">
        <s:is>
          <s:t>AI_battery_integrated_grid</s:t>
        </s:is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707.88</s:v>
      </s:c>
      <s:c r="D52" s="186" t="n">
        <s:v>30.7125</s:v>
      </s:c>
      <s:c r="E52" s="186" t="n">
        <s:v>179156.25</s:v>
      </s:c>
      <s:c r="F52" s="186" t="n">
        <s:v>76781.25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775.9100259740259</s:v>
      </s:c>
      <s:c r="D53" s="186" t="n">
        <s:v>29.759375</s:v>
      </s:c>
      <s:c r="E53" s="186" t="n">
        <s:v>173596.3541666667</s:v>
      </s:c>
      <s:c r="F53" s="186" t="n">
        <s:v>74398.4375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671.1070129870129</s:v>
      </s:c>
      <s:c r="D54" s="186" t="n">
        <s:v>9.531250000000002</s:v>
      </s:c>
      <s:c r="E54" s="186" t="n">
        <s:v>55598.95833333334</s:v>
      </s:c>
      <s:c r="F54" s="186" t="n">
        <s:v>23828.125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18" customWidth="1" min="4" max="4"/>
    <col width="34" customWidth="1" min="5" max="5"/>
    <col width="16" customWidth="1" min="6" max="6"/>
  </cols>
  <sheetData>
    <row r="1" ht="26" customHeight="1">
      <c r="A1" s="5" t="inlineStr">
        <is>
          <t>现状基准测算｜不改造情形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所有节省额均相对于本页“不改造”基准计算。</t>
        </is>
      </c>
      <c r="B2" s="1" t="n"/>
      <c r="C2" s="1" t="n"/>
      <c r="D2" s="1" t="n"/>
      <c r="E2" s="1" t="n"/>
      <c r="F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公式/口径</t>
        </is>
      </c>
      <c r="D4" s="44" t="inlineStr">
        <is>
          <t>计算值</t>
        </is>
      </c>
      <c r="E4" s="44" t="inlineStr">
        <is>
          <t>备注</t>
        </is>
      </c>
      <c r="F4" s="44" t="inlineStr">
        <is>
          <t>校验</t>
        </is>
      </c>
    </row>
    <row r="5">
      <c r="A5" s="45" t="inlineStr">
        <is>
          <t>灯具数量</t>
        </is>
      </c>
      <c r="B5" s="45" t="inlineStr">
        <is>
          <t>盏</t>
        </is>
      </c>
      <c r="C5" s="60" t="inlineStr">
        <is>
          <t>来自Inputs</t>
        </is>
      </c>
      <c r="D5" s="187">
        <f>'02_Inputs'!D6</f>
        <v/>
      </c>
      <c r="E5" s="60" t="str"/>
      <c r="F5" s="45" t="str"/>
    </row>
    <row r="6">
      <c r="A6" s="45" t="inlineStr">
        <is>
          <t>现状单灯功率</t>
        </is>
      </c>
      <c r="B6" s="45" t="inlineStr">
        <is>
          <t>W/盏</t>
        </is>
      </c>
      <c r="C6" s="60" t="inlineStr">
        <is>
          <t>来自Inputs</t>
        </is>
      </c>
      <c r="D6" s="187">
        <f>'02_Inputs'!D9</f>
        <v/>
      </c>
      <c r="E6" s="60" t="str"/>
      <c r="F6" s="45" t="str"/>
    </row>
    <row r="7">
      <c r="A7" s="45" t="inlineStr">
        <is>
          <t>每日亮灯小时</t>
        </is>
      </c>
      <c r="B7" s="45" t="inlineStr">
        <is>
          <t>小时/天</t>
        </is>
      </c>
      <c r="C7" s="60" t="inlineStr">
        <is>
          <t>来自Inputs</t>
        </is>
      </c>
      <c r="D7" s="187">
        <f>'02_Inputs'!D10</f>
        <v/>
      </c>
      <c r="E7" s="60" t="str"/>
      <c r="F7" s="45" t="str"/>
    </row>
    <row r="8">
      <c r="A8" s="45" t="inlineStr">
        <is>
          <t>年运行天数</t>
        </is>
      </c>
      <c r="B8" s="45" t="inlineStr">
        <is>
          <t>天/年</t>
        </is>
      </c>
      <c r="C8" s="60" t="inlineStr">
        <is>
          <t>来自Inputs</t>
        </is>
      </c>
      <c r="D8" s="187">
        <f>'02_Inputs'!D11</f>
        <v/>
      </c>
      <c r="E8" s="60" t="str"/>
      <c r="F8" s="45" t="str"/>
    </row>
    <row r="9">
      <c r="A9" s="45" t="inlineStr">
        <is>
          <t>年运行小时</t>
        </is>
      </c>
      <c r="B9" s="45" t="inlineStr">
        <is>
          <t>小时/年</t>
        </is>
      </c>
      <c r="C9" s="60" t="inlineStr">
        <is>
          <t>每日亮灯小时×年运行天数</t>
        </is>
      </c>
      <c r="D9" s="187">
        <f>D7*D8</f>
        <v/>
      </c>
      <c r="E9" s="60" t="str"/>
      <c r="F9" s="45" t="str"/>
    </row>
    <row r="10">
      <c r="A10" s="45" t="inlineStr">
        <is>
          <t>现状年用电量</t>
        </is>
      </c>
      <c r="B10" s="45" t="inlineStr">
        <is>
          <t>kWh/年</t>
        </is>
      </c>
      <c r="C10" s="60" t="inlineStr">
        <is>
          <t>灯具数量×单灯功率÷1000×年运行小时</t>
        </is>
      </c>
      <c r="D10" s="187">
        <f>D5*D6/1000*D9</f>
        <v/>
      </c>
      <c r="E10" s="60" t="str"/>
      <c r="F10" s="45" t="str"/>
    </row>
    <row r="11">
      <c r="A11" s="45" t="inlineStr">
        <is>
          <t>电价</t>
        </is>
      </c>
      <c r="B11" s="45" t="inlineStr">
        <is>
          <t>元/kWh</t>
        </is>
      </c>
      <c r="C11" s="60" t="inlineStr">
        <is>
          <t>来自Inputs</t>
        </is>
      </c>
      <c r="D11" s="188">
        <f>'02_Inputs'!D8</f>
        <v/>
      </c>
      <c r="E11" s="60" t="str"/>
      <c r="F11" s="45" t="str"/>
    </row>
    <row r="12">
      <c r="A12" s="45" t="inlineStr">
        <is>
          <t>基准年电费</t>
        </is>
      </c>
      <c r="B12" s="45" t="inlineStr">
        <is>
          <t>元/年</t>
        </is>
      </c>
      <c r="C12" s="60" t="inlineStr">
        <is>
          <t>现状年用电量×电价</t>
        </is>
      </c>
      <c r="D12" s="189">
        <f>D10*D11</f>
        <v/>
      </c>
      <c r="E12" s="60" t="str"/>
      <c r="F12" s="45" t="str"/>
    </row>
    <row r="13">
      <c r="A13" s="45" t="inlineStr">
        <is>
          <t>现状运维单价</t>
        </is>
      </c>
      <c r="B13" s="45" t="inlineStr">
        <is>
          <t>元/盏/年</t>
        </is>
      </c>
      <c r="C13" s="60" t="inlineStr">
        <is>
          <t>来自Inputs</t>
        </is>
      </c>
      <c r="D13" s="189">
        <f>'02_Inputs'!D12</f>
        <v/>
      </c>
      <c r="E13" s="60" t="str"/>
      <c r="F13" s="45" t="str"/>
    </row>
    <row r="14">
      <c r="A14" s="45" t="inlineStr">
        <is>
          <t>基准年运维费</t>
        </is>
      </c>
      <c r="B14" s="45" t="inlineStr">
        <is>
          <t>元/年</t>
        </is>
      </c>
      <c r="C14" s="60" t="inlineStr">
        <is>
          <t>灯具数量×现状运维单价</t>
        </is>
      </c>
      <c r="D14" s="189">
        <f>D5*D13</f>
        <v/>
      </c>
      <c r="E14" s="60" t="str"/>
      <c r="F14" s="45" t="str"/>
    </row>
    <row r="15">
      <c r="A15" s="79" t="inlineStr">
        <is>
          <t>基准年总成本</t>
        </is>
      </c>
      <c r="B15" s="79" t="inlineStr">
        <is>
          <t>元/年</t>
        </is>
      </c>
      <c r="C15" s="89" t="inlineStr">
        <is>
          <t>基准年电费+基准年运维费</t>
        </is>
      </c>
      <c r="D15" s="190">
        <f>D12+D14</f>
        <v/>
      </c>
      <c r="E15" s="89" t="str"/>
      <c r="F15" s="79" t="str"/>
    </row>
    <row r="16">
      <c r="A16" s="79" t="inlineStr">
        <is>
          <t>业主年度服务费预算</t>
        </is>
      </c>
      <c r="B16" s="79" t="inlineStr">
        <is>
          <t>元/年</t>
        </is>
      </c>
      <c r="C16" s="89" t="inlineStr">
        <is>
          <t>来自Inputs</t>
        </is>
      </c>
      <c r="D16" s="190">
        <f>'02_Inputs'!D7</f>
        <v/>
      </c>
      <c r="E16" s="89" t="str"/>
      <c r="F16" s="79" t="str"/>
    </row>
    <row r="17">
      <c r="A17" s="79" t="inlineStr">
        <is>
          <t>10年业主预算总额</t>
        </is>
      </c>
      <c r="B17" s="79" t="inlineStr">
        <is>
          <t>元</t>
        </is>
      </c>
      <c r="C17" s="89" t="inlineStr">
        <is>
          <t>年度预算×模型期</t>
        </is>
      </c>
      <c r="D17" s="190">
        <f>D16*'02_Inputs'!D5</f>
        <v/>
      </c>
      <c r="E17" s="89" t="str"/>
      <c r="F17" s="79" t="str"/>
    </row>
    <row r="18">
      <c r="A18" s="79" t="inlineStr">
        <is>
          <t>10年不改造总成本</t>
        </is>
      </c>
      <c r="B18" s="79" t="inlineStr">
        <is>
          <t>元</t>
        </is>
      </c>
      <c r="C18" s="89" t="inlineStr">
        <is>
          <t>年度基准总成本合计，考虑增长率</t>
        </is>
      </c>
      <c r="D18" s="190">
        <f>SUM('05_Annual_Model'!D8:M8)</f>
        <v/>
      </c>
      <c r="E18" s="89" t="str"/>
      <c r="F18" s="79" t="str"/>
    </row>
  </sheetData>
  <mergeCells count="2">
    <mergeCell ref="A2:F2"/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6730600.0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2959712.5361993117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0.2618003333030041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2.901621743798384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1028000.0</s:v>
      </s:c>
      <s:c r="E31" s="193">
        <s:f>E16*(1-'04_Mode_Params'!$C$10)</s:f>
        <s:v>1028000.0</s:v>
      </s:c>
      <s:c r="F31" s="193">
        <s:f>F16*(1-'04_Mode_Params'!$C$10)</s:f>
        <s:v>1028000.0</s:v>
      </s:c>
      <s:c r="G31" s="193">
        <s:f>G16*(1-'04_Mode_Params'!$C$10)</s:f>
        <s:v>1028000.0</s:v>
      </s:c>
      <s:c r="H31" s="193">
        <s:f>H16*(1-'04_Mode_Params'!$C$10)</s:f>
        <s:v>1028000.0</s:v>
      </s:c>
      <s:c r="I31" s="193">
        <s:f>I16*(1-'04_Mode_Params'!$C$10)</s:f>
        <s:v>1028000.0</s:v>
      </s:c>
      <s:c r="J31" s="193">
        <s:f>J16*(1-'04_Mode_Params'!$C$10)</s:f>
        <s:v>1028000.0</s:v>
      </s:c>
      <s:c r="K31" s="193">
        <s:f>K16*(1-'04_Mode_Params'!$C$10)</s:f>
        <s:v>1028000.0</s:v>
      </s:c>
      <s:c r="L31" s="193">
        <s:f>L16*(1-'04_Mode_Params'!$C$10)</s:f>
        <s:v>1028000.0</s:v>
      </s:c>
      <s:c r="M31" s="193">
        <s:f>M16*(1-'04_Mode_Params'!$C$10)</s:f>
        <s:v>1028000.0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1637000.0</s:v>
      </s:c>
      <s:c r="E32" s="193">
        <s:f>E13</s:f>
        <s:v>1637000.0</s:v>
      </s:c>
      <s:c r="F32" s="193">
        <s:f>F13</s:f>
        <s:v>1637000.0</s:v>
      </s:c>
      <s:c r="G32" s="193">
        <s:f>G13</s:f>
        <s:v>1637000.0</s:v>
      </s:c>
      <s:c r="H32" s="193">
        <s:f>H13</s:f>
        <s:v>1637000.0</s:v>
      </s:c>
      <s:c r="I32" s="193">
        <s:f>I13</s:f>
        <s:v>1637000.0</s:v>
      </s:c>
      <s:c r="J32" s="193">
        <s:f>J13</s:f>
        <s:v>1637000.0</s:v>
      </s:c>
      <s:c r="K32" s="193">
        <s:f>K13</s:f>
        <s:v>1637000.0</s:v>
      </s:c>
      <s:c r="L32" s="193">
        <s:f>L13</s:f>
        <s:v>1637000.0</s:v>
      </s:c>
      <s:c r="M32" s="193">
        <s:f>M13</s:f>
        <s:v>1637000.0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2665000.0</s:v>
      </s:c>
      <s:c r="E34" s="195">
        <s:f>E31+E32+E33</s:f>
        <s:v>2665000.0</s:v>
      </s:c>
      <s:c r="F34" s="195">
        <s:f>F31+F32+F33</s:f>
        <s:v>2665000.0</s:v>
      </s:c>
      <s:c r="G34" s="195">
        <s:f>G31+G32+G33</s:f>
        <s:v>2665000.0</s:v>
      </s:c>
      <s:c r="H34" s="195">
        <s:f>H31+H32+H33</s:f>
        <s:v>2665000.0</s:v>
      </s:c>
      <s:c r="I34" s="195">
        <s:f>I31+I32+I33</s:f>
        <s:v>2665000.0</s:v>
      </s:c>
      <s:c r="J34" s="195">
        <s:f>J31+J32+J33</s:f>
        <s:v>2665000.0</s:v>
      </s:c>
      <s:c r="K34" s="195">
        <s:f>K31+K32+K33</s:f>
        <s:v>2665000.0</s:v>
      </s:c>
      <s:c r="L34" s="195">
        <s:f>L31+L32+L33</s:f>
        <s:v>2665000.0</s:v>
      </s:c>
      <s:c r="M34" s="195">
        <s:f>M31+M32+M33</s:f>
        <s:v>2665000.0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1000.0</s:v>
      </s:c>
      <s:c r="E35" s="195">
        <s:f>E8-E34</s:f>
        <s:v>1000.0</s:v>
      </s:c>
      <s:c r="F35" s="195">
        <s:f>F8-F34</s:f>
        <s:v>1000.0</s:v>
      </s:c>
      <s:c r="G35" s="195">
        <s:f>G8-G34</s:f>
        <s:v>1000.0</s:v>
      </s:c>
      <s:c r="H35" s="195">
        <s:f>H8-H34</s:f>
        <s:v>1000.0</s:v>
      </s:c>
      <s:c r="I35" s="195">
        <s:f>I8-I34</s:f>
        <s:v>1000.0</s:v>
      </s:c>
      <s:c r="J35" s="195">
        <s:f>J8-J34</s:f>
        <s:v>1000.0</s:v>
      </s:c>
      <s:c r="K35" s="195">
        <s:f>K8-K34</s:f>
        <s:v>1000.0</s:v>
      </s:c>
      <s:c r="L35" s="195">
        <s:f>L8-L34</s:f>
        <s:v>1000.0</s:v>
      </s:c>
      <s:c r="M35" s="195">
        <s:f>M8-M34</s:f>
        <s:v>1000.0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2150000.0</s:v>
      </s:c>
      <s:c r="E40" s="193">
        <s:f>MAX(0,('04_Mode_Params'!$D$6*(1+'02_Inputs'!$D$16)^(2-1))-('02_Inputs'!$D$45/'02_Inputs'!$D$5))</s:f>
        <s:v>2150000.0</s:v>
      </s:c>
      <s:c r="F40" s="193">
        <s:f>MAX(0,('04_Mode_Params'!$D$6*(1+'02_Inputs'!$D$16)^(3-1))-('02_Inputs'!$D$45/'02_Inputs'!$D$5))</s:f>
        <s:v>2150000.0</s:v>
      </s:c>
      <s:c r="G40" s="193">
        <s:f>MAX(0,('04_Mode_Params'!$D$6*(1+'02_Inputs'!$D$16)^(4-1))-('02_Inputs'!$D$45/'02_Inputs'!$D$5))</s:f>
        <s:v>2150000.0</s:v>
      </s:c>
      <s:c r="H40" s="193">
        <s:f>MAX(0,('04_Mode_Params'!$D$6*(1+'02_Inputs'!$D$16)^(5-1))-('02_Inputs'!$D$45/'02_Inputs'!$D$5))</s:f>
        <s:v>2150000.0</s:v>
      </s:c>
      <s:c r="I40" s="193">
        <s:f>MAX(0,('04_Mode_Params'!$D$6*(1+'02_Inputs'!$D$16)^(6-1))-('02_Inputs'!$D$45/'02_Inputs'!$D$5))</s:f>
        <s:v>2150000.0</s:v>
      </s:c>
      <s:c r="J40" s="193">
        <s:f>MAX(0,MAX((('04_Mode_Params'!$D$6*(1+'02_Inputs'!$D$16)^(7-1))*0.2),('04_Mode_Params'!$D$6*(1+'02_Inputs'!$D$16)^(7-1))-'02_Inputs'!$D$46)-('02_Inputs'!$D$45/'02_Inputs'!$D$5))</s:f>
        <s:v>2150000.0</s:v>
      </s:c>
      <s:c r="K40" s="193">
        <s:f>MAX(0,MAX((('04_Mode_Params'!$D$6*(1+'02_Inputs'!$D$16)^(8-1))*0.2),('04_Mode_Params'!$D$6*(1+'02_Inputs'!$D$16)^(8-1))-'02_Inputs'!$D$46)-('02_Inputs'!$D$45/'02_Inputs'!$D$5))</s:f>
        <s:v>2150000.0</s:v>
      </s:c>
      <s:c r="L40" s="193">
        <s:f>MAX(0,MAX((('04_Mode_Params'!$D$6*(1+'02_Inputs'!$D$16)^(9-1))*0.2),('04_Mode_Params'!$D$6*(1+'02_Inputs'!$D$16)^(9-1))-'02_Inputs'!$D$46)-('02_Inputs'!$D$45/'02_Inputs'!$D$5))</s:f>
        <s:v>2150000.0</s:v>
      </s:c>
      <s:c r="M40" s="193">
        <s:f>MAX(0,MAX((('04_Mode_Params'!$D$6*(1+'02_Inputs'!$D$16)^(10-1))*0.2),('04_Mode_Params'!$D$6*(1+'02_Inputs'!$D$16)^(10-1))-'02_Inputs'!$D$46)-('02_Inputs'!$D$45/'02_Inputs'!$D$5))</s:f>
        <s:v>2150000.0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13992683.333333308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6900303.097006362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0.6185554930912045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4.519102150104253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514000.0</s:v>
      </s:c>
      <s:c r="E58" s="193">
        <s:f>E43*(1-'04_Mode_Params'!$D$10)</s:f>
        <s:v>514000.0</s:v>
      </s:c>
      <s:c r="F58" s="193">
        <s:f>F43*(1-'04_Mode_Params'!$D$10)</s:f>
        <s:v>514000.0</s:v>
      </s:c>
      <s:c r="G58" s="193">
        <s:f>G43*(1-'04_Mode_Params'!$D$10)</s:f>
        <s:v>514000.0</s:v>
      </s:c>
      <s:c r="H58" s="193">
        <s:f>H43*(1-'04_Mode_Params'!$D$10)</s:f>
        <s:v>514000.0</s:v>
      </s:c>
      <s:c r="I58" s="193">
        <s:f>I43*(1-'04_Mode_Params'!$D$10)</s:f>
        <s:v>514000.0</s:v>
      </s:c>
      <s:c r="J58" s="193">
        <s:f>J43*(1-'04_Mode_Params'!$D$10)</s:f>
        <s:v>514000.0</s:v>
      </s:c>
      <s:c r="K58" s="193">
        <s:f>K43*(1-'04_Mode_Params'!$D$10)</s:f>
        <s:v>514000.0</s:v>
      </s:c>
      <s:c r="L58" s="193">
        <s:f>L43*(1-'04_Mode_Params'!$D$10)</s:f>
        <s:v>514000.0</s:v>
      </s:c>
      <s:c r="M58" s="193">
        <s:f>M43*(1-'04_Mode_Params'!$D$10)</s:f>
        <s:v>514000.0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2150000.0</s:v>
      </s:c>
      <s:c r="E59" s="193">
        <s:f>E40</s:f>
        <s:v>2150000.0</s:v>
      </s:c>
      <s:c r="F59" s="193">
        <s:f>F40</s:f>
        <s:v>2150000.0</s:v>
      </s:c>
      <s:c r="G59" s="193">
        <s:f>G40</s:f>
        <s:v>2150000.0</s:v>
      </s:c>
      <s:c r="H59" s="193">
        <s:f>H40</s:f>
        <s:v>2150000.0</s:v>
      </s:c>
      <s:c r="I59" s="193">
        <s:f>I40</s:f>
        <s:v>2150000.0</s:v>
      </s:c>
      <s:c r="J59" s="193">
        <s:f>J40</s:f>
        <s:v>2150000.0</s:v>
      </s:c>
      <s:c r="K59" s="193">
        <s:f>K40</s:f>
        <s:v>2150000.0</s:v>
      </s:c>
      <s:c r="L59" s="193">
        <s:f>L40</s:f>
        <s:v>2150000.0</s:v>
      </s:c>
      <s:c r="M59" s="193">
        <s:f>M40</s:f>
        <s:v>2150000.0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2664000.0</s:v>
      </s:c>
      <s:c r="E61" s="195">
        <s:f>E58+E59+E60</s:f>
        <s:v>2664000.0</s:v>
      </s:c>
      <s:c r="F61" s="195">
        <s:f>F58+F59+F60</s:f>
        <s:v>2664000.0</s:v>
      </s:c>
      <s:c r="G61" s="195">
        <s:f>G58+G59+G60</s:f>
        <s:v>2664000.0</s:v>
      </s:c>
      <s:c r="H61" s="195">
        <s:f>H58+H59+H60</s:f>
        <s:v>2664000.0</s:v>
      </s:c>
      <s:c r="I61" s="195">
        <s:f>I58+I59+I60</s:f>
        <s:v>2664000.0</s:v>
      </s:c>
      <s:c r="J61" s="195">
        <s:f>J58+J59+J60</s:f>
        <s:v>2664000.0</s:v>
      </s:c>
      <s:c r="K61" s="195">
        <s:f>K58+K59+K60</s:f>
        <s:v>2664000.0</s:v>
      </s:c>
      <s:c r="L61" s="195">
        <s:f>L58+L59+L60</s:f>
        <s:v>2664000.0</s:v>
      </s:c>
      <s:c r="M61" s="195">
        <s:f>M58+M59+M60</s:f>
        <s:v>2664000.0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2000.0</s:v>
      </s:c>
      <s:c r="E62" s="195">
        <s:f>E8-E61</s:f>
        <s:v>2000.0</s:v>
      </s:c>
      <s:c r="F62" s="195">
        <s:f>F8-F61</s:f>
        <s:v>2000.0</s:v>
      </s:c>
      <s:c r="G62" s="195">
        <s:f>G8-G61</s:f>
        <s:v>2000.0</s:v>
      </s:c>
      <s:c r="H62" s="195">
        <s:f>H8-H61</s:f>
        <s:v>2000.0</s:v>
      </s:c>
      <s:c r="I62" s="195">
        <s:f>I8-I61</s:f>
        <s:v>2000.0</s:v>
      </s:c>
      <s:c r="J62" s="195">
        <s:f>J8-J61</s:f>
        <s:v>2000.0</s:v>
      </s:c>
      <s:c r="K62" s="195">
        <s:f>K8-K61</s:f>
        <s:v>2000.0</s:v>
      </s:c>
      <s:c r="L62" s="195">
        <s:f>L8-L61</s:f>
        <s:v>2000.0</s:v>
      </s:c>
      <s:c r="M62" s="195">
        <s:f>M8-M61</s:f>
        <s:v>2000.0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-717600.0</s:v>
      </s:c>
      <s:c r="C19" s="170">
        <s:f>'03_Baseline'!$D$15-('03_Baseline'!$D$12*(1-0.45)*(1-'04_Mode_Params'!$D$10)+'04_Mode_Params'!$D$6+'02_Inputs'!$D$17)</s:f>
        <s:v>-614800.0</s:v>
      </s:c>
      <s:c r="D19" s="170">
        <s:f>'03_Baseline'!$D$15-('03_Baseline'!$D$12*(1-0.5)*(1-'04_Mode_Params'!$D$10)+'04_Mode_Params'!$D$6+'02_Inputs'!$D$17)</s:f>
        <s:v>-512000.0</s:v>
      </s:c>
      <s:c r="E19" s="170">
        <s:f>'03_Baseline'!$D$15-('03_Baseline'!$D$12*(1-0.55)*(1-'04_Mode_Params'!$D$10)+'04_Mode_Params'!$D$6+'02_Inputs'!$D$17)</s:f>
        <s:v>-409200.0</s:v>
      </s:c>
      <s:c r="F19" s="170">
        <s:f>'03_Baseline'!$D$15-('03_Baseline'!$D$12*(1-0.6)*(1-'04_Mode_Params'!$D$10)+'04_Mode_Params'!$D$6+'02_Inputs'!$D$17)</s:f>
        <s:v>-306400.0</s:v>
      </s:c>
      <s:c r="G19" s="170">
        <s:f>'03_Baseline'!$D$15-('03_Baseline'!$D$12*(1-0.65)*(1-'04_Mode_Params'!$D$10)+'04_Mode_Params'!$D$6+'02_Inputs'!$D$17)</s:f>
        <s:v>-203600.0</s:v>
      </s:c>
      <s:c r="H19" s="170">
        <s:f>'03_Baseline'!$D$15-('03_Baseline'!$D$12*(1-0.7)*(1-'04_Mode_Params'!$D$10)+'04_Mode_Params'!$D$6+'02_Inputs'!$D$17)</s:f>
        <s:v>-100800.0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2026-04-26T13:28:32Z</dcterms:created>
  <dcterms:modified xsi:type="dcterms:W3CDTF">2026-04-26T13:28:32Z</dcterms:modified>
</cp:coreProperties>
</file>