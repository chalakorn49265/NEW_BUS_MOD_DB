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0.75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2304949.5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1590415.5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2730138.5</s:v>
      </s:c>
      <s:c r="E18" s="173">
        <s:f>C18-D18</s:f>
        <s:v>640164.5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412.5</s:v>
      </s:c>
      <s:c r="E19" s="173">
        <s:f>D19-C19</s:f>
        <s:v>640164.5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2200000.0</s:v>
      </s:c>
      <s:c r="E20" s="173">
        <s:f>D20-C20</s:f>
        <s:v>-142300.0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428562.50000000006</s:v>
      </s:c>
      <s:c r="E21" s="173">
        <s:f>C21-D21</s:f>
        <s:v>181434.49999999994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151741.95173625465</s:v>
      </s:c>
      <s:c r="E22" s="173">
        <s:f>C22-D22</s:f>
        <s:v>242494.93224789927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193774.38378462178</s:v>
      </s:c>
      <s:c r="E23" s="173">
        <s:f>C23-D23</s:f>
        <s:v>-31954.29677273723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1771437.5</s:v>
      </s:c>
      <s:c r="E24" s="173">
        <s:f>D24-C24</s:f>
        <s:v>39134.5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3879550.1298701293</s:v>
      </s:c>
      <s:c r="E25" s="173">
        <s:f>C25-D25</s:f>
        <s:v>340150.1298701293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14174974.999999983</s:v>
      </s:c>
      <s:c r="E26" s="173">
        <s:f>D26-C26</s:f>
        <s:v>391344.99999998324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7008850.999778432</s:v>
      </s:c>
      <s:c r="E27" s="173">
        <s:f>D27-C27</s:f>
        <s:v>-414195.09934101906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0.626831782934119</s:v>
      </s:c>
      <s:c r="E28" s="171">
        <s:f>D28-C28</s:f>
        <s:v>0.1471236855596989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14174974.999999983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7008850.999778432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0.626831782934119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4.566089986467839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849.2885573270861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2200000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0.75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33.21846579164944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193774.38378462178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83046.16447912362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Tier05_UniformAI_75</s:t>
        </s:is>
      </s:c>
    </s:row>
    <s:row r="48">
      <s:c r="A48" t="inlineStr">
        <s:is>
          <s:t>产品类型(product_key)</s:t>
        </s:is>
      </s:c>
      <s:c r="D48" t="inlineStr">
        <s:is>
          <s:t>AI_battery_integrated_grid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31.74090533278214</s:v>
      </s:c>
      <s:c r="E52" s="186" t="n">
        <s:v>185155.2811078959</s:v>
      </s:c>
      <s:c r="F52" s="186" t="n">
        <s:v>79352.26333195536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33.21846579164944</s:v>
      </s:c>
      <s:c r="E53" s="186" t="n">
        <s:v>193774.3837846218</s:v>
      </s:c>
      <s:c r="F53" s="186" t="n">
        <s:v>83046.16447912362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9.850403059115337</s:v>
      </s:c>
      <s:c r="E54" s="186" t="n">
        <s:v>57460.68451150614</s:v>
      </s:c>
      <s:c r="F54" s="186" t="n">
        <s:v>24626.00764778835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2200000.0</s:v>
      </s:c>
      <s:c r="E40" s="193">
        <s:f>MAX(0,('04_Mode_Params'!$D$6*(1+'02_Inputs'!$D$16)^(2-1))-('02_Inputs'!$D$45/'02_Inputs'!$D$5))</s:f>
        <s:v>2200000.0</s:v>
      </s:c>
      <s:c r="F40" s="193">
        <s:f>MAX(0,('04_Mode_Params'!$D$6*(1+'02_Inputs'!$D$16)^(3-1))-('02_Inputs'!$D$45/'02_Inputs'!$D$5))</s:f>
        <s:v>2200000.0</s:v>
      </s:c>
      <s:c r="G40" s="193">
        <s:f>MAX(0,('04_Mode_Params'!$D$6*(1+'02_Inputs'!$D$16)^(4-1))-('02_Inputs'!$D$45/'02_Inputs'!$D$5))</s:f>
        <s:v>2200000.0</s:v>
      </s:c>
      <s:c r="H40" s="193">
        <s:f>MAX(0,('04_Mode_Params'!$D$6*(1+'02_Inputs'!$D$16)^(5-1))-('02_Inputs'!$D$45/'02_Inputs'!$D$5))</s:f>
        <s:v>2200000.0</s:v>
      </s:c>
      <s:c r="I40" s="193">
        <s:f>MAX(0,('04_Mode_Params'!$D$6*(1+'02_Inputs'!$D$16)^(6-1))-('02_Inputs'!$D$45/'02_Inputs'!$D$5))</s:f>
        <s:v>2200000.0</s:v>
      </s:c>
      <s:c r="J40" s="193">
        <s:f>MAX(0,MAX((('04_Mode_Params'!$D$6*(1+'02_Inputs'!$D$16)^(7-1))*0.2),('04_Mode_Params'!$D$6*(1+'02_Inputs'!$D$16)^(7-1))-'02_Inputs'!$D$46)-('02_Inputs'!$D$45/'02_Inputs'!$D$5))</s:f>
        <s:v>2200000.0</s:v>
      </s:c>
      <s:c r="K40" s="193">
        <s:f>MAX(0,MAX((('04_Mode_Params'!$D$6*(1+'02_Inputs'!$D$16)^(8-1))*0.2),('04_Mode_Params'!$D$6*(1+'02_Inputs'!$D$16)^(8-1))-'02_Inputs'!$D$46)-('02_Inputs'!$D$45/'02_Inputs'!$D$5))</s:f>
        <s:v>2200000.0</s:v>
      </s:c>
      <s:c r="L40" s="193">
        <s:f>MAX(0,MAX((('04_Mode_Params'!$D$6*(1+'02_Inputs'!$D$16)^(9-1))*0.2),('04_Mode_Params'!$D$6*(1+'02_Inputs'!$D$16)^(9-1))-'02_Inputs'!$D$46)-('02_Inputs'!$D$45/'02_Inputs'!$D$5))</s:f>
        <s:v>2200000.0</s:v>
      </s:c>
      <s:c r="M40" s="193">
        <s:f>MAX(0,MAX((('04_Mode_Params'!$D$6*(1+'02_Inputs'!$D$16)^(10-1))*0.2),('04_Mode_Params'!$D$6*(1+'02_Inputs'!$D$16)^(10-1))-'02_Inputs'!$D$46)-('02_Inputs'!$D$45/'02_Inputs'!$D$5))</s:f>
        <s:v>2200000.0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14174974.999999983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7008850.999778432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0.626831782934119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4.566089986467839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530138.5</s:v>
      </s:c>
      <s:c r="E58" s="193">
        <s:f>E43*(1-'04_Mode_Params'!$D$10)</s:f>
        <s:v>530138.5</s:v>
      </s:c>
      <s:c r="F58" s="193">
        <s:f>F43*(1-'04_Mode_Params'!$D$10)</s:f>
        <s:v>530138.5</s:v>
      </s:c>
      <s:c r="G58" s="193">
        <s:f>G43*(1-'04_Mode_Params'!$D$10)</s:f>
        <s:v>530138.5</s:v>
      </s:c>
      <s:c r="H58" s="193">
        <s:f>H43*(1-'04_Mode_Params'!$D$10)</s:f>
        <s:v>530138.5</s:v>
      </s:c>
      <s:c r="I58" s="193">
        <s:f>I43*(1-'04_Mode_Params'!$D$10)</s:f>
        <s:v>530138.5</s:v>
      </s:c>
      <s:c r="J58" s="193">
        <s:f>J43*(1-'04_Mode_Params'!$D$10)</s:f>
        <s:v>530138.5</s:v>
      </s:c>
      <s:c r="K58" s="193">
        <s:f>K43*(1-'04_Mode_Params'!$D$10)</s:f>
        <s:v>530138.5</s:v>
      </s:c>
      <s:c r="L58" s="193">
        <s:f>L43*(1-'04_Mode_Params'!$D$10)</s:f>
        <s:v>530138.5</s:v>
      </s:c>
      <s:c r="M58" s="193">
        <s:f>M43*(1-'04_Mode_Params'!$D$10)</s:f>
        <s:v>530138.5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2200000.0</s:v>
      </s:c>
      <s:c r="E59" s="193">
        <s:f>E40</s:f>
        <s:v>2200000.0</s:v>
      </s:c>
      <s:c r="F59" s="193">
        <s:f>F40</s:f>
        <s:v>2200000.0</s:v>
      </s:c>
      <s:c r="G59" s="193">
        <s:f>G40</s:f>
        <s:v>2200000.0</s:v>
      </s:c>
      <s:c r="H59" s="193">
        <s:f>H40</s:f>
        <s:v>2200000.0</s:v>
      </s:c>
      <s:c r="I59" s="193">
        <s:f>I40</s:f>
        <s:v>2200000.0</s:v>
      </s:c>
      <s:c r="J59" s="193">
        <s:f>J40</s:f>
        <s:v>2200000.0</s:v>
      </s:c>
      <s:c r="K59" s="193">
        <s:f>K40</s:f>
        <s:v>2200000.0</s:v>
      </s:c>
      <s:c r="L59" s="193">
        <s:f>L40</s:f>
        <s:v>2200000.0</s:v>
      </s:c>
      <s:c r="M59" s="193">
        <s:f>M40</s:f>
        <s:v>2200000.0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2730138.5</s:v>
      </s:c>
      <s:c r="E61" s="195">
        <s:f>E58+E59+E60</s:f>
        <s:v>2730138.5</s:v>
      </s:c>
      <s:c r="F61" s="195">
        <s:f>F58+F59+F60</s:f>
        <s:v>2730138.5</s:v>
      </s:c>
      <s:c r="G61" s="195">
        <s:f>G58+G59+G60</s:f>
        <s:v>2730138.5</s:v>
      </s:c>
      <s:c r="H61" s="195">
        <s:f>H58+H59+H60</s:f>
        <s:v>2730138.5</s:v>
      </s:c>
      <s:c r="I61" s="195">
        <s:f>I58+I59+I60</s:f>
        <s:v>2730138.5</s:v>
      </s:c>
      <s:c r="J61" s="195">
        <s:f>J58+J59+J60</s:f>
        <s:v>2730138.5</s:v>
      </s:c>
      <s:c r="K61" s="195">
        <s:f>K58+K59+K60</s:f>
        <s:v>2730138.5</s:v>
      </s:c>
      <s:c r="L61" s="195">
        <s:f>L58+L59+L60</s:f>
        <s:v>2730138.5</s:v>
      </s:c>
      <s:c r="M61" s="195">
        <s:f>M58+M59+M60</s:f>
        <s:v>2730138.5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412.5</s:v>
      </s:c>
      <s:c r="E62" s="195">
        <s:f>E8-E61</s:f>
        <s:v>412.5</s:v>
      </s:c>
      <s:c r="F62" s="195">
        <s:f>F8-F61</s:f>
        <s:v>412.5</s:v>
      </s:c>
      <s:c r="G62" s="195">
        <s:f>G8-G61</s:f>
        <s:v>412.5</s:v>
      </s:c>
      <s:c r="H62" s="195">
        <s:f>H8-H61</s:f>
        <s:v>412.5</s:v>
      </s:c>
      <s:c r="I62" s="195">
        <s:f>I8-I61</s:f>
        <s:v>412.5</s:v>
      </s:c>
      <s:c r="J62" s="195">
        <s:f>J8-J61</s:f>
        <s:v>412.5</s:v>
      </s:c>
      <s:c r="K62" s="195">
        <s:f>K8-K61</s:f>
        <s:v>412.5</s:v>
      </s:c>
      <s:c r="L62" s="195">
        <s:f>L8-L61</s:f>
        <s:v>412.5</s:v>
      </s:c>
      <s:c r="M62" s="195">
        <s:f>M8-M61</s:f>
        <s:v>412.5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-741781.3999999999</s:v>
      </s:c>
      <s:c r="C19" s="170">
        <s:f>'03_Baseline'!$D$15-('03_Baseline'!$D$12*(1-0.45)*(1-'04_Mode_Params'!$D$10)+'04_Mode_Params'!$D$6+'02_Inputs'!$D$17)</s:f>
        <s:v>-635753.7000000002</s:v>
      </s:c>
      <s:c r="D19" s="170">
        <s:f>'03_Baseline'!$D$15-('03_Baseline'!$D$12*(1-0.5)*(1-'04_Mode_Params'!$D$10)+'04_Mode_Params'!$D$6+'02_Inputs'!$D$17)</s:f>
        <s:v>-497452.0</s:v>
      </s:c>
      <s:c r="E19" s="170">
        <s:f>'03_Baseline'!$D$15-('03_Baseline'!$D$12*(1-0.55)*(1-'04_Mode_Params'!$D$10)+'04_Mode_Params'!$D$6+'02_Inputs'!$D$17)</s:f>
        <s:v>-423698.2999999998</s:v>
      </s:c>
      <s:c r="F19" s="170">
        <s:f>'03_Baseline'!$D$15-('03_Baseline'!$D$12*(1-0.6)*(1-'04_Mode_Params'!$D$10)+'04_Mode_Params'!$D$6+'02_Inputs'!$D$17)</s:f>
        <s:v>-317670.6000000001</s:v>
      </s:c>
      <s:c r="G19" s="170">
        <s:f>'03_Baseline'!$D$15-('03_Baseline'!$D$12*(1-0.65)*(1-'04_Mode_Params'!$D$10)+'04_Mode_Params'!$D$6+'02_Inputs'!$D$17)</s:f>
        <s:v>-211642.8999999999</s:v>
      </s:c>
      <s:c r="H19" s="170">
        <s:f>'03_Baseline'!$D$15-('03_Baseline'!$D$12*(1-0.7)*(1-'04_Mode_Params'!$D$10)+'04_Mode_Params'!$D$6+'02_Inputs'!$D$17)</s:f>
        <s:v>-105615.20000000019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2026-04-27T06:05:50Z</dcterms:created>
  <dcterms:modified xsi:type="dcterms:W3CDTF">2026-04-27T06:05:50Z</dcterms:modified>
</cp:coreProperties>
</file>