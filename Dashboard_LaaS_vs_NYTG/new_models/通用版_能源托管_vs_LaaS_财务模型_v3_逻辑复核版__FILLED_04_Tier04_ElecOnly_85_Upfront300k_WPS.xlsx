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</fills>
  <borders count="8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1"/>
  </cellStyleXfs>
  <cellXfs count="1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/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/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/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/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/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/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</s:v>
      </s:c>
      <s:c r="D15" s="171">
        <s:f>'04_Mode_Params'!D8</s:f>
        <s:v>0.85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2056000.0</s:v>
      </s:c>
      <s:c r="D16" s="172">
        <s:f>'03_Baseline'!D10*'04_Mode_Params'!D8</s:f>
        <s:v>3495200.0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1028000.0</s:v>
      </s:c>
      <s:c r="D17" s="172">
        <s:f>'03_Baseline'!D12-'04_Mode_Params'!D9</s:f>
        <s:v>1747600.0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/>
      </s:c>
      <s:c r="D18" s="173">
        <s:f>'04_Mode_Params'!D19</s:f>
        <s:v/>
      </s:c>
      <s:c r="E18" s="173">
        <s:f>C18-D18</s:f>
        <s:v/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/>
      </s:c>
      <s:c r="D19" s="173">
        <s:f>'04_Mode_Params'!D20</s:f>
        <s:v/>
      </s:c>
      <s:c r="E19" s="173">
        <s:f>D19-C19</s:f>
        <s:v/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/>
      </s:c>
      <s:c r="D20" s="173">
        <s:f>'04_Mode_Params'!D16</s:f>
        <s:v/>
      </s:c>
      <s:c r="E20" s="173">
        <s:f>D20-C20</s:f>
        <s:v/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/>
      </s:c>
      <s:c r="D21" s="173">
        <s:f>'04_Mode_Params'!D17</s:f>
        <s:v/>
      </s:c>
      <s:c r="E21" s="173">
        <s:f>C21-D21</s:f>
        <s:v/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/>
      </s:c>
      <s:c r="D22" s="173">
        <s:f>'04_Mode_Params'!D13</s:f>
        <s:v/>
      </s:c>
      <s:c r="E22" s="173">
        <s:f>C22-D22</s:f>
        <s:v/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/>
      </s:c>
      <s:c r="D23" s="173">
        <s:f>'04_Mode_Params'!D14+'04_Mode_Params'!D15</s:f>
        <s:v/>
      </s:c>
      <s:c r="E23" s="173">
        <s:f>C23-D23</s:f>
        <s:v/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/>
      </s:c>
      <s:c r="D24" s="173">
        <s:f>'04_Mode_Params'!D18</s:f>
        <s:v/>
      </s:c>
      <s:c r="E24" s="173">
        <s:f>D24-C24</s:f>
        <s:v/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/>
      </s:c>
      <s:c r="D25" s="173">
        <s:f>'04_Mode_Params'!D5</s:f>
        <s:v/>
      </s:c>
      <s:c r="E25" s="173">
        <s:f>C25-D25</s:f>
        <s:v/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/>
      </s:c>
      <s:c r="D26" s="173">
        <s:f>'05_Annual_Model'!M51</s:f>
        <s:v/>
      </s:c>
      <s:c r="E26" s="173">
        <s:f>D26-C26</s:f>
        <s:v/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/>
      </s:c>
      <s:c r="D27" s="173">
        <s:f>'05_Annual_Model'!C52</s:f>
        <s:v/>
      </s:c>
      <s:c r="E27" s="173">
        <s:f>D27-C27</s:f>
        <s:v/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/>
      </s:c>
      <s:c r="D28" s="171">
        <s:f>'05_Annual_Model'!C53</s:f>
        <s:v/>
      </s:c>
      <s:c r="E28" s="171">
        <s:f>D28-C28</s:f>
        <s:v/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6711160.0</s:v>
      </s:c>
      <s:c r="D18" s="173">
        <s:f>'05_Annual_Model'!M51</s:f>
        <s:v>12318600.0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2947410.4186040126</s:v>
      </s:c>
      <s:c r="D19" s="173">
        <s:f>'05_Annual_Model'!C52</s:f>
        <s:v>6024809.945569791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0.2611609229291165</s:v>
      </s:c>
      <s:c r="D20" s="176">
        <s:f>'05_Annual_Model'!C53</s:f>
        <s:v>0.594506713008047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2.8961292874498503</s:v>
      </s:c>
      <s:c r="D21" s="171">
        <s:f>'05_Annual_Model'!C54</s:f>
        <s:v>4.895350990924245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28" customWidth="1" min="5" max="5"/>
    <col width="10" customWidth="1" min="6" max="6"/>
    <col width="50" customWidth="1" min="7" max="7"/>
    <col width="14" customWidth="1" min="8" max="8"/>
  </cols>
  <sheetData>
    <row r="1" ht="26" customHeight="1">
      <c r="A1" s="5" t="inlineStr">
        <is>
          <t>通用输入假设｜能源托管 vs LaaS/AI订阅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蓝色数字为可修改输入。所有成本均按“正数成本/支出”录入，净现金流采用显性减法，避免把成本当收入相加。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模块</t>
        </is>
      </c>
      <c r="B4" s="44" t="inlineStr">
        <is>
          <t>参数</t>
        </is>
      </c>
      <c r="C4" s="44" t="inlineStr">
        <is>
          <t>单位</t>
        </is>
      </c>
      <c r="D4" s="44" t="inlineStr">
        <is>
          <t>输入值</t>
        </is>
      </c>
      <c r="E4" s="44" t="inlineStr">
        <is>
          <t>来源/依据</t>
        </is>
      </c>
      <c r="F4" s="44" t="inlineStr">
        <is>
          <t>是否常改</t>
        </is>
      </c>
      <c r="G4" s="44" t="inlineStr">
        <is>
          <t>备注</t>
        </is>
      </c>
      <c r="H4" s="44" t="inlineStr">
        <is>
          <t>校验</t>
        </is>
      </c>
    </row>
    <row r="5">
      <c r="A5" s="45" t="inlineStr">
        <is>
          <t>基础参数</t>
        </is>
      </c>
      <c r="B5" s="45" t="inlineStr">
        <is>
          <t>模型期</t>
        </is>
      </c>
      <c r="C5" s="45" t="inlineStr">
        <is>
          <t>年</t>
        </is>
      </c>
      <c r="D5" s="178" t="n">
        <v>10</v>
      </c>
      <c r="E5" s="45" t="inlineStr">
        <is>
          <t>用户示例/通用模型</t>
        </is>
      </c>
      <c r="F5" s="45" t="inlineStr">
        <is>
          <t>是</t>
        </is>
      </c>
      <c r="G5" s="60" t="inlineStr">
        <is>
          <t>模板当前展开Y0-Y10；如需15年可继续扩展年度列。</t>
        </is>
      </c>
      <c r="H5" s="60" t="inlineStr">
        <is>
          <t>&gt;0</t>
        </is>
      </c>
    </row>
    <row r="6">
      <c r="A6" s="45" t="inlineStr">
        <is>
          <t>基础参数</t>
        </is>
      </c>
      <c r="B6" s="45" t="inlineStr">
        <is>
          <t>灯具数量</t>
        </is>
      </c>
      <c r="C6" s="45" t="inlineStr">
        <is>
          <t>盏</t>
        </is>
      </c>
      <c r="D6" s="178" t="n">
        <v>5000</v>
      </c>
      <c r="E6" s="45" t="inlineStr">
        <is>
          <t>用户示例假设</t>
        </is>
      </c>
      <c r="F6" s="45" t="inlineStr">
        <is>
          <t>是</t>
        </is>
      </c>
      <c r="G6" s="60" t="inlineStr">
        <is>
          <t>用于计算总能耗、总运维费、总CAPEX。</t>
        </is>
      </c>
      <c r="H6" s="60" t="inlineStr">
        <is>
          <t>&gt;0</t>
        </is>
      </c>
    </row>
    <row r="7">
      <c r="A7" s="45" t="inlineStr">
        <is>
          <t>基础参数</t>
        </is>
      </c>
      <c r="B7" s="45" t="inlineStr">
        <is>
          <t>业主年度服务费预算/付费上限</t>
        </is>
      </c>
      <c r="C7" s="45" t="inlineStr">
        <is>
          <t>元/年</t>
        </is>
      </c>
      <c r="D7" s="179" t="n">
        <v>2342300</v>
      </c>
      <c r="E7" s="45" t="inlineStr">
        <is>
          <t>用户示例假设</t>
        </is>
      </c>
      <c r="F7" s="45" t="inlineStr">
        <is>
          <t>是</t>
        </is>
      </c>
      <c r="G7" s="60" t="inlineStr">
        <is>
          <t>这里是业主每年可支付给服务商的固定预算，不是业主一次性CAPEX。</t>
        </is>
      </c>
      <c r="H7" s="60" t="inlineStr">
        <is>
          <t>&gt;=0</t>
        </is>
      </c>
    </row>
    <row r="8">
      <c r="A8" s="45" t="inlineStr">
        <is>
          <t>基础参数</t>
        </is>
      </c>
      <c r="B8" s="45" t="inlineStr">
        <is>
          <t>电价</t>
        </is>
      </c>
      <c r="C8" s="45" t="inlineStr">
        <is>
          <t>元/kWh</t>
        </is>
      </c>
      <c r="D8" s="179" t="n">
        <v>0.5</v>
      </c>
      <c r="E8" s="45" t="inlineStr">
        <is>
          <t>用户示例假设</t>
        </is>
      </c>
      <c r="F8" s="45" t="inlineStr">
        <is>
          <t>是</t>
        </is>
      </c>
      <c r="G8" s="60" t="inlineStr">
        <is>
          <t>如存在峰谷电价，可替换为加权平均电价。</t>
        </is>
      </c>
      <c r="H8" s="60" t="inlineStr">
        <is>
          <t>&gt;=0</t>
        </is>
      </c>
    </row>
    <row r="9">
      <c r="A9" s="45" t="inlineStr">
        <is>
          <t>基础参数</t>
        </is>
      </c>
      <c r="B9" s="45" t="inlineStr">
        <is>
          <t>现状单灯功率</t>
        </is>
      </c>
      <c r="C9" s="45" t="inlineStr">
        <is>
          <t>W/盏</t>
        </is>
      </c>
      <c r="D9" s="180" t="n">
        <v>204.8318804483188</v>
      </c>
      <c r="E9" s="45" t="inlineStr">
        <is>
          <t>模型默认假设，需现场替换</t>
        </is>
      </c>
      <c r="F9" s="45" t="inlineStr">
        <is>
          <t>是</t>
        </is>
      </c>
      <c r="G9" s="60" t="inlineStr">
        <is>
          <t>用于估算现状年用电量。</t>
        </is>
      </c>
      <c r="H9" s="60" t="inlineStr">
        <is>
          <t>&gt;0</t>
        </is>
      </c>
    </row>
    <row r="10">
      <c r="A10" s="45" t="inlineStr">
        <is>
          <t>基础参数</t>
        </is>
      </c>
      <c r="B10" s="45" t="inlineStr">
        <is>
          <t>每日亮灯小时</t>
        </is>
      </c>
      <c r="C10" s="45" t="inlineStr">
        <is>
          <t>小时/天</t>
        </is>
      </c>
      <c r="D10" s="178" t="n">
        <v>11</v>
      </c>
      <c r="E10" s="45" t="inlineStr">
        <is>
          <t>模型默认假设，需现场替换</t>
        </is>
      </c>
      <c r="F10" s="45" t="inlineStr">
        <is>
          <t>是</t>
        </is>
      </c>
      <c r="G10" s="60" t="inlineStr">
        <is>
          <t>路灯常按10-12小时估算，具体按当地控制策略替换。</t>
        </is>
      </c>
      <c r="H10" s="60" t="inlineStr">
        <is>
          <t>0-24</t>
        </is>
      </c>
    </row>
    <row r="11">
      <c r="A11" s="45" t="inlineStr">
        <is>
          <t>基础参数</t>
        </is>
      </c>
      <c r="B11" s="45" t="inlineStr">
        <is>
          <t>年运行天数</t>
        </is>
      </c>
      <c r="C11" s="45" t="inlineStr">
        <is>
          <t>天/年</t>
        </is>
      </c>
      <c r="D11" s="178" t="n">
        <v>365</v>
      </c>
      <c r="E11" s="45" t="inlineStr">
        <is>
          <t>模型默认假设</t>
        </is>
      </c>
      <c r="F11" s="45" t="inlineStr">
        <is>
          <t>是</t>
        </is>
      </c>
      <c r="G11" s="60" t="inlineStr">
        <is>
          <t>通常取365。</t>
        </is>
      </c>
      <c r="H11" s="60" t="inlineStr">
        <is>
          <t>&gt;0</t>
        </is>
      </c>
    </row>
    <row r="12">
      <c r="A12" s="45" t="inlineStr">
        <is>
          <t>基础参数</t>
        </is>
      </c>
      <c r="B12" s="45" t="inlineStr">
        <is>
          <t>现状运维单价</t>
        </is>
      </c>
      <c r="C12" s="45" t="inlineStr">
        <is>
          <t>元/盏/年</t>
        </is>
      </c>
      <c r="D12" s="178" t="n">
        <v>122</v>
      </c>
      <c r="E12" s="45" t="inlineStr">
        <is>
          <t>用户示例假设</t>
        </is>
      </c>
      <c r="F12" s="45" t="inlineStr">
        <is>
          <t>是</t>
        </is>
      </c>
      <c r="G12" s="60" t="inlineStr">
        <is>
          <t>业主现状运维支出。</t>
        </is>
      </c>
      <c r="H12" s="60" t="inlineStr">
        <is>
          <t>&gt;=0</t>
        </is>
      </c>
    </row>
    <row r="13">
      <c r="A13" s="45" t="inlineStr">
        <is>
          <t>基础参数</t>
        </is>
      </c>
      <c r="B13" s="45" t="inlineStr">
        <is>
          <t>折现率</t>
        </is>
      </c>
      <c r="C13" s="45" t="inlineStr">
        <is>
          <t>%</t>
        </is>
      </c>
      <c r="D13" s="181" t="n">
        <v>0.12</v>
      </c>
      <c r="E13" s="45" t="inlineStr">
        <is>
          <t>模型默认假设</t>
        </is>
      </c>
      <c r="F13" s="45" t="inlineStr">
        <is>
          <t>是</t>
        </is>
      </c>
      <c r="G13" s="60" t="inlineStr">
        <is>
          <t>用于服务商NPV，可按资金成本/项目风险调整。</t>
        </is>
      </c>
      <c r="H13" s="60" t="inlineStr">
        <is>
          <t>&gt;=0</t>
        </is>
      </c>
    </row>
    <row r="14">
      <c r="A14" s="45" t="inlineStr">
        <is>
          <t>基础参数</t>
        </is>
      </c>
      <c r="B14" s="45" t="inlineStr">
        <is>
          <t>电价年增长率</t>
        </is>
      </c>
      <c r="C14" s="45" t="inlineStr">
        <is>
          <t>%</t>
        </is>
      </c>
      <c r="D14" s="181" t="n">
        <v>0</v>
      </c>
      <c r="E14" s="45" t="inlineStr">
        <is>
          <t>模型默认假设</t>
        </is>
      </c>
      <c r="F14" s="45" t="inlineStr">
        <is>
          <t>可选</t>
        </is>
      </c>
      <c r="G14" s="60" t="inlineStr">
        <is>
          <t>若不确定，可先设为0。</t>
        </is>
      </c>
      <c r="H14" s="60" t="inlineStr">
        <is>
          <t>&gt;=0</t>
        </is>
      </c>
    </row>
    <row r="15">
      <c r="A15" s="45" t="inlineStr">
        <is>
          <t>基础参数</t>
        </is>
      </c>
      <c r="B15" s="45" t="inlineStr">
        <is>
          <t>服务商成本年增长率</t>
        </is>
      </c>
      <c r="C15" s="45" t="inlineStr">
        <is>
          <t>%</t>
        </is>
      </c>
      <c r="D15" s="181" t="n">
        <v>0</v>
      </c>
      <c r="E15" s="45" t="inlineStr">
        <is>
          <t>模型默认假设</t>
        </is>
      </c>
      <c r="F15" s="45" t="inlineStr">
        <is>
          <t>可选</t>
        </is>
      </c>
      <c r="G15" s="60" t="inlineStr">
        <is>
          <t>用于运维、平台、备件等成本年度增长。</t>
        </is>
      </c>
      <c r="H15" s="60" t="inlineStr">
        <is>
          <t>&gt;=0</t>
        </is>
      </c>
    </row>
    <row r="16">
      <c r="A16" s="45" t="inlineStr">
        <is>
          <t>基础参数</t>
        </is>
      </c>
      <c r="B16" s="45" t="inlineStr">
        <is>
          <t>服务费年增长率</t>
        </is>
      </c>
      <c r="C16" s="45" t="inlineStr">
        <is>
          <t>%</t>
        </is>
      </c>
      <c r="D16" s="181" t="n">
        <v>0</v>
      </c>
      <c r="E16" s="45" t="inlineStr">
        <is>
          <t>模型默认假设</t>
        </is>
      </c>
      <c r="F16" s="45" t="inlineStr">
        <is>
          <t>可选</t>
        </is>
      </c>
      <c r="G16" s="60" t="inlineStr">
        <is>
          <t>若合同约定服务费递增，可在此填写。</t>
        </is>
      </c>
      <c r="H16" s="60" t="inlineStr">
        <is>
          <t>&gt;=0</t>
        </is>
      </c>
    </row>
    <row r="17">
      <c r="A17" s="45" t="inlineStr">
        <is>
          <t>基础参数</t>
        </is>
      </c>
      <c r="B17" s="45" t="inlineStr">
        <is>
          <t>业主保留管理成本</t>
        </is>
      </c>
      <c r="C17" s="45" t="inlineStr">
        <is>
          <t>元/年</t>
        </is>
      </c>
      <c r="D17" s="179" t="n">
        <v>0</v>
      </c>
      <c r="E17" s="45" t="inlineStr">
        <is>
          <t>模型默认假设</t>
        </is>
      </c>
      <c r="F17" s="45" t="inlineStr">
        <is>
          <t>可选</t>
        </is>
      </c>
      <c r="G17" s="60" t="inlineStr">
        <is>
          <t>如业主仍保留少量监督、接口、验收等管理成本。</t>
        </is>
      </c>
      <c r="H17" s="60" t="inlineStr">
        <is>
          <t>&gt;=0</t>
        </is>
      </c>
    </row>
    <row r="18">
      <c r="A18" s="50" t="inlineStr">
        <is>
          <t>能源托管/EMC</t>
        </is>
      </c>
      <c r="B18" s="50" t="inlineStr">
        <is>
          <t>初始CAPEX单价</t>
        </is>
      </c>
      <c r="C18" s="50" t="inlineStr">
        <is>
          <t>元/盏</t>
        </is>
      </c>
      <c r="D18" s="182" t="n">
        <v>707.88</v>
      </c>
      <c r="E18" s="50" t="inlineStr">
        <is>
          <t>模型默认假设，需报价替换</t>
        </is>
      </c>
      <c r="F18" s="50" t="inlineStr">
        <is>
          <t>是</t>
        </is>
      </c>
      <c r="G18" s="61" t="inlineStr">
        <is>
          <t>含灯具、施工、基础控制等；现金流Y0扣减。</t>
        </is>
      </c>
      <c r="H18" s="61" t="inlineStr">
        <is>
          <t>&gt;=0</t>
        </is>
      </c>
    </row>
    <row r="19">
      <c r="A19" s="45" t="inlineStr">
        <is>
          <t>能源托管/EMC</t>
        </is>
      </c>
      <c r="B19" s="45" t="inlineStr">
        <is>
          <t>固定服务费收入</t>
        </is>
      </c>
      <c r="C19" s="45" t="inlineStr">
        <is>
          <t>元/年</t>
        </is>
      </c>
      <c r="D19" s="179" t="n">
        <v>1635056</v>
      </c>
      <c r="E19" s="45" t="inlineStr">
        <is>
          <t>默认等于业主年度预算</t>
        </is>
      </c>
      <c r="F19" s="45" t="inlineStr">
        <is>
          <t>是</t>
        </is>
      </c>
      <c r="G19" s="60" t="inlineStr">
        <is>
          <t>服务商每年从业主获得的固定服务费。</t>
        </is>
      </c>
      <c r="H19" s="60" t="inlineStr">
        <is>
          <t>&gt;=0</t>
        </is>
      </c>
    </row>
    <row r="20">
      <c r="A20" s="45" t="inlineStr">
        <is>
          <t>能源托管/EMC</t>
        </is>
      </c>
      <c r="B20" s="45" t="inlineStr">
        <is>
          <t>其他/第三方收入</t>
        </is>
      </c>
      <c r="C20" s="45" t="inlineStr">
        <is>
          <t>元/年</t>
        </is>
      </c>
      <c r="D20" s="179" t="n">
        <v>0</v>
      </c>
      <c r="E20" s="45" t="inlineStr">
        <is>
          <t>模型默认假设</t>
        </is>
      </c>
      <c r="F20" s="45" t="inlineStr">
        <is>
          <t>可选</t>
        </is>
      </c>
      <c r="G20" s="60" t="inlineStr">
        <is>
          <t>如非业主支付的增值收入；不自动计入业主支出，避免双算。</t>
        </is>
      </c>
      <c r="H20" s="60" t="inlineStr">
        <is>
          <t>&gt;=0</t>
        </is>
      </c>
    </row>
    <row r="21">
      <c r="A21" s="45" t="inlineStr">
        <is>
          <t>能源托管/EMC</t>
        </is>
      </c>
      <c r="B21" s="45" t="inlineStr">
        <is>
          <t>综合节电率</t>
        </is>
      </c>
      <c r="C21" s="45" t="inlineStr">
        <is>
          <t>%</t>
        </is>
      </c>
      <c r="D21" s="181" t="n">
        <v>0.5</v>
      </c>
      <c r="E21" s="45" t="inlineStr">
        <is>
          <t>模型默认假设，需项目测算替换</t>
        </is>
      </c>
      <c r="F21" s="45" t="inlineStr">
        <is>
          <t>是</t>
        </is>
      </c>
      <c r="G21" s="60" t="inlineStr">
        <is>
          <t>LED改造+基础控制后的综合节电率。</t>
        </is>
      </c>
      <c r="H21" s="60" t="inlineStr">
        <is>
          <t>0-95%</t>
        </is>
      </c>
    </row>
    <row r="22">
      <c r="A22" s="45" t="inlineStr">
        <is>
          <t>能源托管/EMC</t>
        </is>
      </c>
      <c r="B22" s="45" t="inlineStr">
        <is>
          <t>服务商运维现金成本</t>
        </is>
      </c>
      <c r="C22" s="45" t="inlineStr">
        <is>
          <t>元/盏/年</t>
        </is>
      </c>
      <c r="D22" s="179" t="n">
        <v>81.33333333333333</v>
      </c>
      <c r="E22" s="45" t="inlineStr">
        <is>
          <t>模型默认假设，需报价替换</t>
        </is>
      </c>
      <c r="F22" s="45" t="inlineStr">
        <is>
          <t>是</t>
        </is>
      </c>
      <c r="G22" s="60" t="inlineStr">
        <is>
          <t>服务商实际维护成本，按正数录入。</t>
        </is>
      </c>
      <c r="H22" s="60" t="inlineStr">
        <is>
          <t>&gt;=0</t>
        </is>
      </c>
    </row>
    <row r="23">
      <c r="A23" s="45" t="inlineStr">
        <is>
          <t>能源托管/EMC</t>
        </is>
      </c>
      <c r="B23" s="45" t="inlineStr">
        <is>
          <t>平台/管理成本</t>
        </is>
      </c>
      <c r="C23" s="45" t="inlineStr">
        <is>
          <t>元/年</t>
        </is>
      </c>
      <c r="D23" s="179" t="n">
        <v>152500</v>
      </c>
      <c r="E23" s="45" t="inlineStr">
        <is>
          <t>模型默认假设</t>
        </is>
      </c>
      <c r="F23" s="45" t="inlineStr">
        <is>
          <t>是</t>
        </is>
      </c>
      <c r="G23" s="60" t="inlineStr">
        <is>
          <t>项目管理、平台接入、巡检系统等年度成本。</t>
        </is>
      </c>
      <c r="H23" s="60" t="inlineStr">
        <is>
          <t>&gt;=0</t>
        </is>
      </c>
    </row>
    <row r="24">
      <c r="A24" s="45" t="inlineStr">
        <is>
          <t>能源托管/EMC</t>
        </is>
      </c>
      <c r="B24" s="45" t="inlineStr">
        <is>
          <t>备件/小改造储备</t>
        </is>
      </c>
      <c r="C24" s="45" t="inlineStr">
        <is>
          <t>元/年</t>
        </is>
      </c>
      <c r="D24" s="179" t="n">
        <v>50833.33333333333</v>
      </c>
      <c r="E24" s="45" t="inlineStr">
        <is>
          <t>模型默认假设</t>
        </is>
      </c>
      <c r="F24" s="45" t="inlineStr">
        <is>
          <t>是</t>
        </is>
      </c>
      <c r="G24" s="60" t="inlineStr">
        <is>
          <t>备件更换、小修小改预留。</t>
        </is>
      </c>
      <c r="H24" s="60" t="inlineStr">
        <is>
          <t>&gt;=0</t>
        </is>
      </c>
    </row>
    <row r="25">
      <c r="A25" s="45" t="inlineStr">
        <is>
          <t>能源托管/EMC</t>
        </is>
      </c>
      <c r="B25" s="45" t="inlineStr">
        <is>
          <t>服务商是否承担电费</t>
        </is>
      </c>
      <c r="C25" s="45" t="inlineStr">
        <is>
          <t>0/1</t>
        </is>
      </c>
      <c r="D25" s="178" t="n">
        <v>0</v>
      </c>
      <c r="E25" s="45" t="inlineStr">
        <is>
          <t>模型开关</t>
        </is>
      </c>
      <c r="F25" s="45" t="inlineStr">
        <is>
          <t>是</t>
        </is>
      </c>
      <c r="G25" s="60" t="inlineStr">
        <is>
          <t>0=业主继续支付电费；1=服务商承担电费。</t>
        </is>
      </c>
      <c r="H25" s="60" t="inlineStr">
        <is>
          <t>0或1</t>
        </is>
      </c>
    </row>
    <row r="26">
      <c r="A26" s="45" t="inlineStr">
        <is>
          <t>能源托管/EMC</t>
        </is>
      </c>
      <c r="B26" s="45" t="inlineStr">
        <is>
          <t>资产转让年份</t>
        </is>
      </c>
      <c r="C26" s="45" t="inlineStr">
        <is>
          <t>年</t>
        </is>
      </c>
      <c r="D26" s="178" t="n">
        <v>0</v>
      </c>
      <c r="E26" s="45" t="inlineStr">
        <is>
          <t>模型默认假设</t>
        </is>
      </c>
      <c r="F26" s="45" t="inlineStr">
        <is>
          <t>可选</t>
        </is>
      </c>
      <c r="G26" s="60" t="inlineStr">
        <is>
          <t>0表示不转让；如第5年转让则填5。</t>
        </is>
      </c>
      <c r="H26" s="60" t="inlineStr">
        <is>
          <t>0-模型期</t>
        </is>
      </c>
    </row>
    <row r="27">
      <c r="A27" s="45" t="inlineStr">
        <is>
          <t>能源托管/EMC</t>
        </is>
      </c>
      <c r="B27" s="45" t="inlineStr">
        <is>
          <t>资产转让收入</t>
        </is>
      </c>
      <c r="C27" s="45" t="inlineStr">
        <is>
          <t>元</t>
        </is>
      </c>
      <c r="D27" s="179" t="n">
        <v>0</v>
      </c>
      <c r="E27" s="45" t="inlineStr">
        <is>
          <t>模型默认假设</t>
        </is>
      </c>
      <c r="F27" s="45" t="inlineStr">
        <is>
          <t>可选</t>
        </is>
      </c>
      <c r="G27" s="60" t="inlineStr">
        <is>
          <t>资产买断/转让收入；仅在资产转让年份进入服务商现金流。</t>
        </is>
      </c>
      <c r="H27" s="60" t="inlineStr">
        <is>
          <t>&gt;=0</t>
        </is>
      </c>
    </row>
    <row r="28">
      <c r="A28" s="50" t="inlineStr">
        <is>
          <t>LaaS/AI订阅</t>
        </is>
      </c>
      <c r="B28" s="50" t="inlineStr">
        <is>
          <t>初始CAPEX单价</t>
        </is>
      </c>
      <c r="C28" s="50" t="inlineStr">
        <is>
          <t>元/盏</t>
        </is>
      </c>
      <c r="D28" s="182" t="n">
        <v>707.88</v>
      </c>
      <c r="E28" s="50" t="inlineStr">
        <is>
          <t>模型默认假设，需报价替换</t>
        </is>
      </c>
      <c r="F28" s="50" t="inlineStr">
        <is>
          <t>是</t>
        </is>
      </c>
      <c r="G28" s="61" t="inlineStr">
        <is>
          <t>通常含AI、通信、传感、平台接入，可能高于普通托管。</t>
        </is>
      </c>
      <c r="H28" s="61" t="inlineStr">
        <is>
          <t>&gt;=0</t>
        </is>
      </c>
    </row>
    <row r="29">
      <c r="A29" s="45" t="inlineStr">
        <is>
          <t>LaaS/AI订阅</t>
        </is>
      </c>
      <c r="B29" s="45" t="inlineStr">
        <is>
          <t>订阅费收入</t>
        </is>
      </c>
      <c r="C29" s="45" t="inlineStr">
        <is>
          <t>元/年</t>
        </is>
      </c>
      <c r="D29" s="179" t="n">
        <v>2350000</v>
      </c>
      <c r="E29" s="45" t="inlineStr">
        <is>
          <t>默认等于业主年度预算</t>
        </is>
      </c>
      <c r="F29" s="45" t="inlineStr">
        <is>
          <t>是</t>
        </is>
      </c>
      <c r="G29" s="60" t="inlineStr">
        <is>
          <t>服务商每年从业主获得的订阅费。</t>
        </is>
      </c>
      <c r="H29" s="60" t="inlineStr">
        <is>
          <t>&gt;=0</t>
        </is>
      </c>
    </row>
    <row r="30">
      <c r="A30" s="45" t="inlineStr">
        <is>
          <t>LaaS/AI订阅</t>
        </is>
      </c>
      <c r="B30" s="45" t="inlineStr">
        <is>
          <t>其他/第三方收入</t>
        </is>
      </c>
      <c r="C30" s="45" t="inlineStr">
        <is>
          <t>元/年</t>
        </is>
      </c>
      <c r="D30" s="179" t="n">
        <v>0</v>
      </c>
      <c r="E30" s="45" t="inlineStr">
        <is>
          <t>模型默认假设</t>
        </is>
      </c>
      <c r="F30" s="45" t="inlineStr">
        <is>
          <t>可选</t>
        </is>
      </c>
      <c r="G30" s="60" t="inlineStr">
        <is>
          <t>广告、数据服务、城市接口等收入；不自动计入业主支出。</t>
        </is>
      </c>
      <c r="H30" s="60" t="inlineStr">
        <is>
          <t>&gt;=0</t>
        </is>
      </c>
    </row>
    <row r="31">
      <c r="A31" s="45" t="inlineStr">
        <is>
          <t>LaaS/AI订阅</t>
        </is>
      </c>
      <c r="B31" s="45" t="inlineStr">
        <is>
          <t>综合节电率</t>
        </is>
      </c>
      <c r="C31" s="45" t="inlineStr">
        <is>
          <t>%</t>
        </is>
      </c>
      <c r="D31" s="181" t="n">
        <v>0.85</v>
      </c>
      <c r="E31" s="45" t="inlineStr">
        <is>
          <t>模型默认假设，需项目测算替换</t>
        </is>
      </c>
      <c r="F31" s="45" t="inlineStr">
        <is>
          <t>是</t>
        </is>
      </c>
      <c r="G31" s="60" t="inlineStr">
        <is>
          <t>LED+AI调光+异常识别后的综合节电率。</t>
        </is>
      </c>
      <c r="H31" s="60" t="inlineStr">
        <is>
          <t>0-95%</t>
        </is>
      </c>
    </row>
    <row r="32">
      <c r="A32" s="45" t="inlineStr">
        <is>
          <t>LaaS/AI订阅</t>
        </is>
      </c>
      <c r="B32" s="45" t="inlineStr">
        <is>
          <t>服务商运维现金成本</t>
        </is>
      </c>
      <c r="C32" s="45" t="inlineStr">
        <is>
          <t>元/盏/年</t>
        </is>
      </c>
      <c r="D32" s="179" t="n">
        <v>57.315</v>
      </c>
      <c r="E32" s="45" t="inlineStr">
        <is>
          <t>模型默认假设，需项目测算替换</t>
        </is>
      </c>
      <c r="F32" s="45" t="inlineStr">
        <is>
          <t>是</t>
        </is>
      </c>
      <c r="G32" s="60" t="inlineStr">
        <is>
          <t>AI巡检、远程诊断、工单化后可能降低。</t>
        </is>
      </c>
      <c r="H32" s="60" t="inlineStr">
        <is>
          <t>&gt;=0</t>
        </is>
      </c>
    </row>
    <row r="33">
      <c r="A33" s="45" t="inlineStr">
        <is>
          <t>LaaS/AI订阅</t>
        </is>
      </c>
      <c r="B33" s="45" t="inlineStr">
        <is>
          <t>平台/AI升级成本</t>
        </is>
      </c>
      <c r="C33" s="45" t="inlineStr">
        <is>
          <t>元/年</t>
        </is>
      </c>
      <c r="D33" s="179" t="n">
        <v>334337.5000000001</v>
      </c>
      <c r="E33" s="45" t="inlineStr">
        <is>
          <t>模型默认假设</t>
        </is>
      </c>
      <c r="F33" s="45" t="inlineStr">
        <is>
          <t>是</t>
        </is>
      </c>
      <c r="G33" s="60" t="inlineStr">
        <is>
          <t>算法、平台、通信、云资源、版本升级等年度成本。</t>
        </is>
      </c>
      <c r="H33" s="60" t="inlineStr">
        <is>
          <t>&gt;=0</t>
        </is>
      </c>
    </row>
    <row r="34">
      <c r="A34" s="45" t="inlineStr">
        <is>
          <t>LaaS/AI订阅</t>
        </is>
      </c>
      <c r="B34" s="45" t="inlineStr">
        <is>
          <t>升级/备件储备</t>
        </is>
      </c>
      <c r="C34" s="45" t="inlineStr">
        <is>
          <t>元/年</t>
        </is>
      </c>
      <c r="D34" s="179" t="n">
        <v>143287.5</v>
      </c>
      <c r="E34" s="45" t="inlineStr">
        <is>
          <t>模型默认假设</t>
        </is>
      </c>
      <c r="F34" s="45" t="inlineStr">
        <is>
          <t>是</t>
        </is>
      </c>
      <c r="G34" s="60" t="inlineStr">
        <is>
          <t>硬件升级、备件与系统迭代预留。</t>
        </is>
      </c>
      <c r="H34" s="60" t="inlineStr">
        <is>
          <t>&gt;=0</t>
        </is>
      </c>
    </row>
    <row r="35">
      <c r="A35" s="45" t="inlineStr">
        <is>
          <t>LaaS/AI订阅</t>
        </is>
      </c>
      <c r="B35" s="45" t="inlineStr">
        <is>
          <t>服务商是否承担电费</t>
        </is>
      </c>
      <c r="C35" s="45" t="inlineStr">
        <is>
          <t>0/1</t>
        </is>
      </c>
      <c r="D35" s="178" t="n">
        <v>0</v>
      </c>
      <c r="E35" s="45" t="inlineStr">
        <is>
          <t>模型开关</t>
        </is>
      </c>
      <c r="F35" s="45" t="inlineStr">
        <is>
          <t>是</t>
        </is>
      </c>
      <c r="G35" s="60" t="inlineStr">
        <is>
          <t>0=业主继续支付电费；1=服务商承担电费。</t>
        </is>
      </c>
      <c r="H35" s="60" t="inlineStr">
        <is>
          <t>0或1</t>
        </is>
      </c>
    </row>
    <row r="36">
      <c r="A36" s="45" t="inlineStr">
        <is>
          <t>LaaS/AI订阅</t>
        </is>
      </c>
      <c r="B36" s="45" t="inlineStr">
        <is>
          <t>资产转让年份</t>
        </is>
      </c>
      <c r="C36" s="45" t="inlineStr">
        <is>
          <t>年</t>
        </is>
      </c>
      <c r="D36" s="178" t="n">
        <v>0</v>
      </c>
      <c r="E36" s="45" t="inlineStr">
        <is>
          <t>模型默认假设</t>
        </is>
      </c>
      <c r="F36" s="45" t="inlineStr">
        <is>
          <t>可选</t>
        </is>
      </c>
      <c r="G36" s="60" t="inlineStr">
        <is>
          <t>0表示不转让；如第5年转让则填5。</t>
        </is>
      </c>
      <c r="H36" s="60" t="inlineStr">
        <is>
          <t>0-模型期</t>
        </is>
      </c>
    </row>
    <row r="37">
      <c r="A37" s="45" t="inlineStr">
        <is>
          <t>LaaS/AI订阅</t>
        </is>
      </c>
      <c r="B37" s="45" t="inlineStr">
        <is>
          <t>资产转让收入</t>
        </is>
      </c>
      <c r="C37" s="45" t="inlineStr">
        <is>
          <t>元</t>
        </is>
      </c>
      <c r="D37" s="179" t="n">
        <v>0</v>
      </c>
      <c r="E37" s="45" t="inlineStr">
        <is>
          <t>模型默认假设</t>
        </is>
      </c>
      <c r="F37" s="45" t="inlineStr">
        <is>
          <t>可选</t>
        </is>
      </c>
      <c r="G37" s="60" t="inlineStr">
        <is>
          <t>资产买断/转让收入；仅在资产转让年份进入服务商现金流。</t>
        </is>
      </c>
      <c r="H37" s="60" t="inlineStr">
        <is>
          <t>&gt;=0</t>
        </is>
      </c>
    </row>
    <row r="45">
      <c r="A45" t="inlineStr">
        <is>
          <t>首期款(元)/客户预付</t>
        </is>
      </c>
      <c r="D45" t="n">
        <v>300000</v>
      </c>
    </row>
    <row r="46">
      <c r="A46" t="inlineStr">
        <is>
          <t>后4年年费减免(元/年)</t>
        </is>
      </c>
      <c r="D46" t="n">
        <v>0</v>
      </c>
    </row>
    <row r="47">
      <c r="A47" t="inlineStr">
        <is>
          <t>方案标识</t>
        </is>
      </c>
      <c r="D47" t="inlineStr">
        <is>
          <t>Tier04_ElecOnly_85_Upfront300k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6" customWidth="1" min="3" max="3"/>
    <col width="18" customWidth="1" min="4" max="4"/>
    <col width="34" customWidth="1" min="5" max="5"/>
    <col width="16" customWidth="1" min="6" max="6"/>
  </cols>
  <sheetData>
    <row r="1" ht="26" customHeight="1">
      <c r="A1" s="5" t="inlineStr">
        <is>
          <t>现状基准测算｜不改造情形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所有节省额均相对于本页“不改造”基准计算。</t>
        </is>
      </c>
      <c r="B2" s="1" t="n"/>
      <c r="C2" s="1" t="n"/>
      <c r="D2" s="1" t="n"/>
      <c r="E2" s="1" t="n"/>
      <c r="F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公式/口径</t>
        </is>
      </c>
      <c r="D4" s="44" t="inlineStr">
        <is>
          <t>计算值</t>
        </is>
      </c>
      <c r="E4" s="44" t="inlineStr">
        <is>
          <t>备注</t>
        </is>
      </c>
      <c r="F4" s="44" t="inlineStr">
        <is>
          <t>校验</t>
        </is>
      </c>
    </row>
    <row r="5">
      <c r="A5" s="45" t="inlineStr">
        <is>
          <t>灯具数量</t>
        </is>
      </c>
      <c r="B5" s="45" t="inlineStr">
        <is>
          <t>盏</t>
        </is>
      </c>
      <c r="C5" s="60" t="inlineStr">
        <is>
          <t>来自Inputs</t>
        </is>
      </c>
      <c r="D5" s="183">
        <f>'02_Inputs'!D6</f>
        <v/>
      </c>
      <c r="E5" s="60" t="str"/>
      <c r="F5" s="45" t="str"/>
    </row>
    <row r="6">
      <c r="A6" s="45" t="inlineStr">
        <is>
          <t>现状单灯功率</t>
        </is>
      </c>
      <c r="B6" s="45" t="inlineStr">
        <is>
          <t>W/盏</t>
        </is>
      </c>
      <c r="C6" s="60" t="inlineStr">
        <is>
          <t>来自Inputs</t>
        </is>
      </c>
      <c r="D6" s="183">
        <f>'02_Inputs'!D9</f>
        <v/>
      </c>
      <c r="E6" s="60" t="str"/>
      <c r="F6" s="45" t="str"/>
    </row>
    <row r="7">
      <c r="A7" s="45" t="inlineStr">
        <is>
          <t>每日亮灯小时</t>
        </is>
      </c>
      <c r="B7" s="45" t="inlineStr">
        <is>
          <t>小时/天</t>
        </is>
      </c>
      <c r="C7" s="60" t="inlineStr">
        <is>
          <t>来自Inputs</t>
        </is>
      </c>
      <c r="D7" s="183">
        <f>'02_Inputs'!D10</f>
        <v/>
      </c>
      <c r="E7" s="60" t="str"/>
      <c r="F7" s="45" t="str"/>
    </row>
    <row r="8">
      <c r="A8" s="45" t="inlineStr">
        <is>
          <t>年运行天数</t>
        </is>
      </c>
      <c r="B8" s="45" t="inlineStr">
        <is>
          <t>天/年</t>
        </is>
      </c>
      <c r="C8" s="60" t="inlineStr">
        <is>
          <t>来自Inputs</t>
        </is>
      </c>
      <c r="D8" s="183">
        <f>'02_Inputs'!D11</f>
        <v/>
      </c>
      <c r="E8" s="60" t="str"/>
      <c r="F8" s="45" t="str"/>
    </row>
    <row r="9">
      <c r="A9" s="45" t="inlineStr">
        <is>
          <t>年运行小时</t>
        </is>
      </c>
      <c r="B9" s="45" t="inlineStr">
        <is>
          <t>小时/年</t>
        </is>
      </c>
      <c r="C9" s="60" t="inlineStr">
        <is>
          <t>每日亮灯小时×年运行天数</t>
        </is>
      </c>
      <c r="D9" s="183">
        <f>D7*D8</f>
        <v/>
      </c>
      <c r="E9" s="60" t="str"/>
      <c r="F9" s="45" t="str"/>
    </row>
    <row r="10">
      <c r="A10" s="45" t="inlineStr">
        <is>
          <t>现状年用电量</t>
        </is>
      </c>
      <c r="B10" s="45" t="inlineStr">
        <is>
          <t>kWh/年</t>
        </is>
      </c>
      <c r="C10" s="60" t="inlineStr">
        <is>
          <t>灯具数量×单灯功率÷1000×年运行小时</t>
        </is>
      </c>
      <c r="D10" s="183">
        <f>D5*D6/1000*D9</f>
        <v/>
      </c>
      <c r="E10" s="60" t="str"/>
      <c r="F10" s="45" t="str"/>
    </row>
    <row r="11">
      <c r="A11" s="45" t="inlineStr">
        <is>
          <t>电价</t>
        </is>
      </c>
      <c r="B11" s="45" t="inlineStr">
        <is>
          <t>元/kWh</t>
        </is>
      </c>
      <c r="C11" s="60" t="inlineStr">
        <is>
          <t>来自Inputs</t>
        </is>
      </c>
      <c r="D11" s="184">
        <f>'02_Inputs'!D8</f>
        <v/>
      </c>
      <c r="E11" s="60" t="str"/>
      <c r="F11" s="45" t="str"/>
    </row>
    <row r="12">
      <c r="A12" s="45" t="inlineStr">
        <is>
          <t>基准年电费</t>
        </is>
      </c>
      <c r="B12" s="45" t="inlineStr">
        <is>
          <t>元/年</t>
        </is>
      </c>
      <c r="C12" s="60" t="inlineStr">
        <is>
          <t>现状年用电量×电价</t>
        </is>
      </c>
      <c r="D12" s="185">
        <f>D10*D11</f>
        <v/>
      </c>
      <c r="E12" s="60" t="str"/>
      <c r="F12" s="45" t="str"/>
    </row>
    <row r="13">
      <c r="A13" s="45" t="inlineStr">
        <is>
          <t>现状运维单价</t>
        </is>
      </c>
      <c r="B13" s="45" t="inlineStr">
        <is>
          <t>元/盏/年</t>
        </is>
      </c>
      <c r="C13" s="60" t="inlineStr">
        <is>
          <t>来自Inputs</t>
        </is>
      </c>
      <c r="D13" s="185">
        <f>'02_Inputs'!D12</f>
        <v/>
      </c>
      <c r="E13" s="60" t="str"/>
      <c r="F13" s="45" t="str"/>
    </row>
    <row r="14">
      <c r="A14" s="45" t="inlineStr">
        <is>
          <t>基准年运维费</t>
        </is>
      </c>
      <c r="B14" s="45" t="inlineStr">
        <is>
          <t>元/年</t>
        </is>
      </c>
      <c r="C14" s="60" t="inlineStr">
        <is>
          <t>灯具数量×现状运维单价</t>
        </is>
      </c>
      <c r="D14" s="185">
        <f>D5*D13</f>
        <v/>
      </c>
      <c r="E14" s="60" t="str"/>
      <c r="F14" s="45" t="str"/>
    </row>
    <row r="15">
      <c r="A15" s="79" t="inlineStr">
        <is>
          <t>基准年总成本</t>
        </is>
      </c>
      <c r="B15" s="79" t="inlineStr">
        <is>
          <t>元/年</t>
        </is>
      </c>
      <c r="C15" s="89" t="inlineStr">
        <is>
          <t>基准年电费+基准年运维费</t>
        </is>
      </c>
      <c r="D15" s="186">
        <f>D12+D14</f>
        <v/>
      </c>
      <c r="E15" s="89" t="str"/>
      <c r="F15" s="79" t="str"/>
    </row>
    <row r="16">
      <c r="A16" s="79" t="inlineStr">
        <is>
          <t>业主年度服务费预算</t>
        </is>
      </c>
      <c r="B16" s="79" t="inlineStr">
        <is>
          <t>元/年</t>
        </is>
      </c>
      <c r="C16" s="89" t="inlineStr">
        <is>
          <t>来自Inputs</t>
        </is>
      </c>
      <c r="D16" s="186">
        <f>'02_Inputs'!D7</f>
        <v/>
      </c>
      <c r="E16" s="89" t="str"/>
      <c r="F16" s="79" t="str"/>
    </row>
    <row r="17">
      <c r="A17" s="79" t="inlineStr">
        <is>
          <t>10年业主预算总额</t>
        </is>
      </c>
      <c r="B17" s="79" t="inlineStr">
        <is>
          <t>元</t>
        </is>
      </c>
      <c r="C17" s="89" t="inlineStr">
        <is>
          <t>年度预算×模型期</t>
        </is>
      </c>
      <c r="D17" s="186">
        <f>D16*'02_Inputs'!D5</f>
        <v/>
      </c>
      <c r="E17" s="89" t="str"/>
      <c r="F17" s="79" t="str"/>
    </row>
    <row r="18">
      <c r="A18" s="79" t="inlineStr">
        <is>
          <t>10年不改造总成本</t>
        </is>
      </c>
      <c r="B18" s="79" t="inlineStr">
        <is>
          <t>元</t>
        </is>
      </c>
      <c r="C18" s="89" t="inlineStr">
        <is>
          <t>年度基准总成本合计，考虑增长率</t>
        </is>
      </c>
      <c r="D18" s="186">
        <f>SUM('05_Annual_Model'!D8:M8)</f>
        <v/>
      </c>
      <c r="E18" s="89" t="str"/>
      <c r="F18" s="79" t="str"/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87">
        <f>C6+C7</f>
        <v/>
      </c>
      <c r="D16" s="187">
        <f>D6+D7</f>
        <v/>
      </c>
      <c r="E16" s="187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87">
        <f>C11+C13+C14+C15</f>
        <v/>
      </c>
      <c r="D17" s="187">
        <f>D11+D13+D14+D15</f>
        <v/>
      </c>
      <c r="E17" s="187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87">
        <f>C16-C17</f>
        <v/>
      </c>
      <c r="D18" s="187">
        <f>D16-D17</f>
        <v/>
      </c>
      <c r="E18" s="187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87">
        <f>C12+C6+'02_Inputs'!D17</f>
        <v/>
      </c>
      <c r="D19" s="187">
        <f>D12+D6+'02_Inputs'!D17</f>
        <v/>
      </c>
      <c r="E19" s="187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87">
        <f>'03_Baseline'!D15-C19</f>
        <v/>
      </c>
      <c r="D20" s="187">
        <f>'03_Baseline'!D15-D19</f>
        <v/>
      </c>
      <c r="E20" s="187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88">
        <f>C20/'03_Baseline'!D15</f>
        <v/>
      </c>
      <c r="D21" s="188">
        <f>D20/'03_Baseline'!D15</f>
        <v/>
      </c>
      <c r="E21" s="188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89">
        <s:f>0</s:f>
        <s:v/>
      </s:c>
      <s:c r="D6" s="189">
        <s:f>'03_Baseline'!$D$12*(1+'02_Inputs'!$D$14)^(1-1)</s:f>
        <s:v/>
      </s:c>
      <s:c r="E6" s="189">
        <s:f>'03_Baseline'!$D$12*(1+'02_Inputs'!$D$14)^(2-1)</s:f>
        <s:v/>
      </s:c>
      <s:c r="F6" s="189">
        <s:f>'03_Baseline'!$D$12*(1+'02_Inputs'!$D$14)^(3-1)</s:f>
        <s:v/>
      </s:c>
      <s:c r="G6" s="189">
        <s:f>'03_Baseline'!$D$12*(1+'02_Inputs'!$D$14)^(4-1)</s:f>
        <s:v/>
      </s:c>
      <s:c r="H6" s="189">
        <s:f>'03_Baseline'!$D$12*(1+'02_Inputs'!$D$14)^(5-1)</s:f>
        <s:v/>
      </s:c>
      <s:c r="I6" s="189">
        <s:f>'03_Baseline'!$D$12*(1+'02_Inputs'!$D$14)^(6-1)</s:f>
        <s:v/>
      </s:c>
      <s:c r="J6" s="189">
        <s:f>'03_Baseline'!$D$12*(1+'02_Inputs'!$D$14)^(7-1)</s:f>
        <s:v/>
      </s:c>
      <s:c r="K6" s="189">
        <s:f>'03_Baseline'!$D$12*(1+'02_Inputs'!$D$14)^(8-1)</s:f>
        <s:v/>
      </s:c>
      <s:c r="L6" s="189">
        <s:f>'03_Baseline'!$D$12*(1+'02_Inputs'!$D$14)^(9-1)</s:f>
        <s:v/>
      </s:c>
      <s:c r="M6" s="189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89">
        <s:f>0</s:f>
        <s:v/>
      </s:c>
      <s:c r="D7" s="189">
        <s:f>'03_Baseline'!$D$14*(1+'02_Inputs'!$D$15)^(1-1)</s:f>
        <s:v/>
      </s:c>
      <s:c r="E7" s="189">
        <s:f>'03_Baseline'!$D$14*(1+'02_Inputs'!$D$15)^(2-1)</s:f>
        <s:v/>
      </s:c>
      <s:c r="F7" s="189">
        <s:f>'03_Baseline'!$D$14*(1+'02_Inputs'!$D$15)^(3-1)</s:f>
        <s:v/>
      </s:c>
      <s:c r="G7" s="189">
        <s:f>'03_Baseline'!$D$14*(1+'02_Inputs'!$D$15)^(4-1)</s:f>
        <s:v/>
      </s:c>
      <s:c r="H7" s="189">
        <s:f>'03_Baseline'!$D$14*(1+'02_Inputs'!$D$15)^(5-1)</s:f>
        <s:v/>
      </s:c>
      <s:c r="I7" s="189">
        <s:f>'03_Baseline'!$D$14*(1+'02_Inputs'!$D$15)^(6-1)</s:f>
        <s:v/>
      </s:c>
      <s:c r="J7" s="189">
        <s:f>'03_Baseline'!$D$14*(1+'02_Inputs'!$D$15)^(7-1)</s:f>
        <s:v/>
      </s:c>
      <s:c r="K7" s="189">
        <s:f>'03_Baseline'!$D$14*(1+'02_Inputs'!$D$15)^(8-1)</s:f>
        <s:v/>
      </s:c>
      <s:c r="L7" s="189">
        <s:f>'03_Baseline'!$D$14*(1+'02_Inputs'!$D$15)^(9-1)</s:f>
        <s:v/>
      </s:c>
      <s:c r="M7" s="189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89">
        <s:f>0</s:f>
        <s:v/>
      </s:c>
      <s:c r="D8" s="189">
        <s:f>D6+D7</s:f>
        <s:v/>
      </s:c>
      <s:c r="E8" s="189">
        <s:f>E6+E7</s:f>
        <s:v/>
      </s:c>
      <s:c r="F8" s="189">
        <s:f>F6+F7</s:f>
        <s:v/>
      </s:c>
      <s:c r="G8" s="189">
        <s:f>G6+G7</s:f>
        <s:v/>
      </s:c>
      <s:c r="H8" s="189">
        <s:f>H6+H7</s:f>
        <s:v/>
      </s:c>
      <s:c r="I8" s="189">
        <s:f>I6+I7</s:f>
        <s:v/>
      </s:c>
      <s:c r="J8" s="189">
        <s:f>J6+J7</s:f>
        <s:v/>
      </s:c>
      <s:c r="K8" s="189">
        <s:f>K6+K7</s:f>
        <s:v/>
      </s:c>
      <s:c r="L8" s="189">
        <s:f>L6+L7</s:f>
        <s:v/>
      </s:c>
      <s:c r="M8" s="189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89">
        <s:f>0</s:f>
        <s:v/>
      </s:c>
      <s:c r="D9" s="189">
        <s:f>'02_Inputs'!$D$7*(1+'02_Inputs'!$D$16)^(1-1)</s:f>
        <s:v/>
      </s:c>
      <s:c r="E9" s="189">
        <s:f>'02_Inputs'!$D$7*(1+'02_Inputs'!$D$16)^(2-1)</s:f>
        <s:v/>
      </s:c>
      <s:c r="F9" s="189">
        <s:f>'02_Inputs'!$D$7*(1+'02_Inputs'!$D$16)^(3-1)</s:f>
        <s:v/>
      </s:c>
      <s:c r="G9" s="189">
        <s:f>'02_Inputs'!$D$7*(1+'02_Inputs'!$D$16)^(4-1)</s:f>
        <s:v/>
      </s:c>
      <s:c r="H9" s="189">
        <s:f>'02_Inputs'!$D$7*(1+'02_Inputs'!$D$16)^(5-1)</s:f>
        <s:v/>
      </s:c>
      <s:c r="I9" s="189">
        <s:f>'02_Inputs'!$D$7*(1+'02_Inputs'!$D$16)^(6-1)</s:f>
        <s:v/>
      </s:c>
      <s:c r="J9" s="189">
        <s:f>'02_Inputs'!$D$7*(1+'02_Inputs'!$D$16)^(7-1)</s:f>
        <s:v/>
      </s:c>
      <s:c r="K9" s="189">
        <s:f>'02_Inputs'!$D$7*(1+'02_Inputs'!$D$16)^(8-1)</s:f>
        <s:v/>
      </s:c>
      <s:c r="L9" s="189">
        <s:f>'02_Inputs'!$D$7*(1+'02_Inputs'!$D$16)^(9-1)</s:f>
        <s:v/>
      </s:c>
      <s:c r="M9" s="189">
        <s:f>'02_Inputs'!$D$7*(1+'02_Inputs'!$D$16)^(10-1)</s:f>
        <s:v/>
      </s:c>
    </s:row>
    <s:row r="10">
      <s:c r="A10" s="45" t="str"/>
      <s:c r="B10" s="45" t="str"/>
      <s:c r="C10" s="189" t="n"/>
      <s:c r="D10" s="189" t="n"/>
      <s:c r="E10" s="189" t="n"/>
      <s:c r="F10" s="189" t="n"/>
      <s:c r="G10" s="189" t="n"/>
      <s:c r="H10" s="189" t="n"/>
      <s:c r="I10" s="189" t="n"/>
      <s:c r="J10" s="189" t="n"/>
      <s:c r="K10" s="189" t="n"/>
      <s:c r="L10" s="189" t="n"/>
      <s:c r="M10" s="189" t="n"/>
    </s:row>
    <s:row r="11">
      <s:c r="A11" s="50" t="inlineStr">
        <s:is>
          <s:t>B. 能源托管/EMC｜服务商现金流</s:t>
        </s:is>
      </s:c>
      <s:c r="B11" s="50" t="str"/>
      <s:c r="C11" s="190" t="n"/>
      <s:c r="D11" s="190" t="n"/>
      <s:c r="E11" s="190" t="n"/>
      <s:c r="F11" s="190" t="n"/>
      <s:c r="G11" s="190" t="n"/>
      <s:c r="H11" s="190" t="n"/>
      <s:c r="I11" s="190" t="n"/>
      <s:c r="J11" s="190" t="n"/>
      <s:c r="K11" s="190" t="n"/>
      <s:c r="L11" s="190" t="n"/>
      <s:c r="M11" s="190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89">
        <s:f>0</s:f>
        <s:v/>
      </s:c>
      <s:c r="D13" s="189">
        <s:f>'04_Mode_Params'!$C$6*(1+'02_Inputs'!$D$16)^(1-1)</s:f>
        <s:v/>
      </s:c>
      <s:c r="E13" s="189">
        <s:f>'04_Mode_Params'!$C$6*(1+'02_Inputs'!$D$16)^(2-1)</s:f>
        <s:v/>
      </s:c>
      <s:c r="F13" s="189">
        <s:f>'04_Mode_Params'!$C$6*(1+'02_Inputs'!$D$16)^(3-1)</s:f>
        <s:v/>
      </s:c>
      <s:c r="G13" s="189">
        <s:f>'04_Mode_Params'!$C$6*(1+'02_Inputs'!$D$16)^(4-1)</s:f>
        <s:v/>
      </s:c>
      <s:c r="H13" s="189">
        <s:f>'04_Mode_Params'!$C$6*(1+'02_Inputs'!$D$16)^(5-1)</s:f>
        <s:v/>
      </s:c>
      <s:c r="I13" s="189">
        <s:f>'04_Mode_Params'!$C$6*(1+'02_Inputs'!$D$16)^(6-1)</s:f>
        <s:v/>
      </s:c>
      <s:c r="J13" s="189">
        <s:f>'04_Mode_Params'!$C$6*(1+'02_Inputs'!$D$16)^(7-1)</s:f>
        <s:v/>
      </s:c>
      <s:c r="K13" s="189">
        <s:f>'04_Mode_Params'!$C$6*(1+'02_Inputs'!$D$16)^(8-1)</s:f>
        <s:v/>
      </s:c>
      <s:c r="L13" s="189">
        <s:f>'04_Mode_Params'!$C$6*(1+'02_Inputs'!$D$16)^(9-1)</s:f>
        <s:v/>
      </s:c>
      <s:c r="M13" s="189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89">
        <s:f>0</s:f>
        <s:v/>
      </s:c>
      <s:c r="D14" s="189">
        <s:f>'04_Mode_Params'!$C$7*(1+'02_Inputs'!$D$16)^(1-1)</s:f>
        <s:v/>
      </s:c>
      <s:c r="E14" s="189">
        <s:f>'04_Mode_Params'!$C$7*(1+'02_Inputs'!$D$16)^(2-1)</s:f>
        <s:v/>
      </s:c>
      <s:c r="F14" s="189">
        <s:f>'04_Mode_Params'!$C$7*(1+'02_Inputs'!$D$16)^(3-1)</s:f>
        <s:v/>
      </s:c>
      <s:c r="G14" s="189">
        <s:f>'04_Mode_Params'!$C$7*(1+'02_Inputs'!$D$16)^(4-1)</s:f>
        <s:v/>
      </s:c>
      <s:c r="H14" s="189">
        <s:f>'04_Mode_Params'!$C$7*(1+'02_Inputs'!$D$16)^(5-1)</s:f>
        <s:v/>
      </s:c>
      <s:c r="I14" s="189">
        <s:f>'04_Mode_Params'!$C$7*(1+'02_Inputs'!$D$16)^(6-1)</s:f>
        <s:v/>
      </s:c>
      <s:c r="J14" s="189">
        <s:f>'04_Mode_Params'!$C$7*(1+'02_Inputs'!$D$16)^(7-1)</s:f>
        <s:v/>
      </s:c>
      <s:c r="K14" s="189">
        <s:f>'04_Mode_Params'!$C$7*(1+'02_Inputs'!$D$16)^(8-1)</s:f>
        <s:v/>
      </s:c>
      <s:c r="L14" s="189">
        <s:f>'04_Mode_Params'!$C$7*(1+'02_Inputs'!$D$16)^(9-1)</s:f>
        <s:v/>
      </s:c>
      <s:c r="M14" s="189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89">
        <s:f>0</s:f>
        <s:v/>
      </s:c>
      <s:c r="D15" s="189">
        <s:f>IF(AND(1='02_Inputs'!$D$26,1&gt;0),'02_Inputs'!$D$27,0)</s:f>
        <s:v/>
      </s:c>
      <s:c r="E15" s="189">
        <s:f>IF(AND(2='02_Inputs'!$D$26,2&gt;0),'02_Inputs'!$D$27,0)</s:f>
        <s:v/>
      </s:c>
      <s:c r="F15" s="189">
        <s:f>IF(AND(3='02_Inputs'!$D$26,3&gt;0),'02_Inputs'!$D$27,0)</s:f>
        <s:v/>
      </s:c>
      <s:c r="G15" s="189">
        <s:f>IF(AND(4='02_Inputs'!$D$26,4&gt;0),'02_Inputs'!$D$27,0)</s:f>
        <s:v/>
      </s:c>
      <s:c r="H15" s="189">
        <s:f>IF(AND(5='02_Inputs'!$D$26,5&gt;0),'02_Inputs'!$D$27,0)</s:f>
        <s:v/>
      </s:c>
      <s:c r="I15" s="189">
        <s:f>IF(AND(6='02_Inputs'!$D$26,6&gt;0),'02_Inputs'!$D$27,0)</s:f>
        <s:v/>
      </s:c>
      <s:c r="J15" s="189">
        <s:f>IF(AND(7='02_Inputs'!$D$26,7&gt;0),'02_Inputs'!$D$27,0)</s:f>
        <s:v/>
      </s:c>
      <s:c r="K15" s="189">
        <s:f>IF(AND(8='02_Inputs'!$D$26,8&gt;0),'02_Inputs'!$D$27,0)</s:f>
        <s:v/>
      </s:c>
      <s:c r="L15" s="189">
        <s:f>IF(AND(9='02_Inputs'!$D$26,9&gt;0),'02_Inputs'!$D$27,0)</s:f>
        <s:v/>
      </s:c>
      <s:c r="M15" s="189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89">
        <s:f>0</s:f>
        <s:v/>
      </s:c>
      <s:c r="D16" s="189">
        <s:f>D6*(1-'04_Mode_Params'!$C$8)</s:f>
        <s:v/>
      </s:c>
      <s:c r="E16" s="189">
        <s:f>E6*(1-'04_Mode_Params'!$C$8)</s:f>
        <s:v/>
      </s:c>
      <s:c r="F16" s="189">
        <s:f>F6*(1-'04_Mode_Params'!$C$8)</s:f>
        <s:v/>
      </s:c>
      <s:c r="G16" s="189">
        <s:f>G6*(1-'04_Mode_Params'!$C$8)</s:f>
        <s:v/>
      </s:c>
      <s:c r="H16" s="189">
        <s:f>H6*(1-'04_Mode_Params'!$C$8)</s:f>
        <s:v/>
      </s:c>
      <s:c r="I16" s="189">
        <s:f>I6*(1-'04_Mode_Params'!$C$8)</s:f>
        <s:v/>
      </s:c>
      <s:c r="J16" s="189">
        <s:f>J6*(1-'04_Mode_Params'!$C$8)</s:f>
        <s:v/>
      </s:c>
      <s:c r="K16" s="189">
        <s:f>K6*(1-'04_Mode_Params'!$C$8)</s:f>
        <s:v/>
      </s:c>
      <s:c r="L16" s="189">
        <s:f>L6*(1-'04_Mode_Params'!$C$8)</s:f>
        <s:v/>
      </s:c>
      <s:c r="M16" s="189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1">
        <s:f>0</s:f>
        <s:v/>
      </s:c>
      <s:c r="D21" s="191">
        <s:f>D13+D14+D15</s:f>
        <s:v/>
      </s:c>
      <s:c r="E21" s="191">
        <s:f>E13+E14+E15</s:f>
        <s:v/>
      </s:c>
      <s:c r="F21" s="191">
        <s:f>F13+F14+F15</s:f>
        <s:v/>
      </s:c>
      <s:c r="G21" s="191">
        <s:f>G13+G14+G15</s:f>
        <s:v/>
      </s:c>
      <s:c r="H21" s="191">
        <s:f>H13+H14+H15</s:f>
        <s:v/>
      </s:c>
      <s:c r="I21" s="191">
        <s:f>I13+I14+I15</s:f>
        <s:v/>
      </s:c>
      <s:c r="J21" s="191">
        <s:f>J13+J14+J15</s:f>
        <s:v/>
      </s:c>
      <s:c r="K21" s="191">
        <s:f>K13+K14+K15</s:f>
        <s:v/>
      </s:c>
      <s:c r="L21" s="191">
        <s:f>L13+L14+L15</s:f>
        <s:v/>
      </s:c>
      <s:c r="M21" s="191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1">
        <s:f>C12</s:f>
        <s:v/>
      </s:c>
      <s:c r="D22" s="191">
        <s:f>D12+D17+D18+D19+D20</s:f>
        <s:v/>
      </s:c>
      <s:c r="E22" s="191">
        <s:f>E12+E17+E18+E19+E20</s:f>
        <s:v/>
      </s:c>
      <s:c r="F22" s="191">
        <s:f>F12+F17+F18+F19+F20</s:f>
        <s:v/>
      </s:c>
      <s:c r="G22" s="191">
        <s:f>G12+G17+G18+G19+G20</s:f>
        <s:v/>
      </s:c>
      <s:c r="H22" s="191">
        <s:f>H12+H17+H18+H19+H20</s:f>
        <s:v/>
      </s:c>
      <s:c r="I22" s="191">
        <s:f>I12+I17+I18+I19+I20</s:f>
        <s:v/>
      </s:c>
      <s:c r="J22" s="191">
        <s:f>J12+J17+J18+J19+J20</s:f>
        <s:v/>
      </s:c>
      <s:c r="K22" s="191">
        <s:f>K12+K17+K18+K19+K20</s:f>
        <s:v/>
      </s:c>
      <s:c r="L22" s="191">
        <s:f>L12+L17+L18+L19+L20</s:f>
        <s:v/>
      </s:c>
      <s:c r="M22" s="191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1">
        <s:f>C21-C22</s:f>
        <s:v/>
      </s:c>
      <s:c r="D23" s="191">
        <s:f>D21-D22</s:f>
        <s:v/>
      </s:c>
      <s:c r="E23" s="191">
        <s:f>E21-E22</s:f>
        <s:v/>
      </s:c>
      <s:c r="F23" s="191">
        <s:f>F21-F22</s:f>
        <s:v/>
      </s:c>
      <s:c r="G23" s="191">
        <s:f>G21-G22</s:f>
        <s:v/>
      </s:c>
      <s:c r="H23" s="191">
        <s:f>H21-H22</s:f>
        <s:v/>
      </s:c>
      <s:c r="I23" s="191">
        <s:f>I21-I22</s:f>
        <s:v/>
      </s:c>
      <s:c r="J23" s="191">
        <s:f>J21-J22</s:f>
        <s:v/>
      </s:c>
      <s:c r="K23" s="191">
        <s:f>K21-K22</s:f>
        <s:v/>
      </s:c>
      <s:c r="L23" s="191">
        <s:f>L21-L22</s:f>
        <s:v/>
      </s:c>
      <s:c r="M23" s="191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1">
        <s:f>C23</s:f>
        <s:v/>
      </s:c>
      <s:c r="D24" s="191">
        <s:f>C24+D23</s:f>
        <s:v/>
      </s:c>
      <s:c r="E24" s="191">
        <s:f>D24+E23</s:f>
        <s:v/>
      </s:c>
      <s:c r="F24" s="191">
        <s:f>E24+F23</s:f>
        <s:v/>
      </s:c>
      <s:c r="G24" s="191">
        <s:f>F24+G23</s:f>
        <s:v/>
      </s:c>
      <s:c r="H24" s="191">
        <s:f>G24+H23</s:f>
        <s:v/>
      </s:c>
      <s:c r="I24" s="191">
        <s:f>H24+I23</s:f>
        <s:v/>
      </s:c>
      <s:c r="J24" s="191">
        <s:f>I24+J23</s:f>
        <s:v/>
      </s:c>
      <s:c r="K24" s="191">
        <s:f>J24+K23</s:f>
        <s:v/>
      </s:c>
      <s:c r="L24" s="191">
        <s:f>K24+L23</s:f>
        <s:v/>
      </s:c>
      <s:c r="M24" s="191">
        <s:f>L24+M23</s:f>
        <s:v>6711160.0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2">
        <s:f>NPV('02_Inputs'!$D$13,D23:M23)+C23</s:f>
        <s:v>2947410.4186040126</s:v>
      </s:c>
      <s:c r="D25" s="189" t="n"/>
      <s:c r="E25" s="189" t="n"/>
      <s:c r="F25" s="189" t="n"/>
      <s:c r="G25" s="189" t="n"/>
      <s:c r="H25" s="189" t="n"/>
      <s:c r="I25" s="189" t="n"/>
      <s:c r="J25" s="189" t="n"/>
      <s:c r="K25" s="189" t="n"/>
      <s:c r="L25" s="189" t="n"/>
      <s:c r="M25" s="189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3">
        <s:f>IFERROR(IRR(C23:M23),"n/a")</s:f>
        <s:v>0.2611609229291165</s:v>
      </s:c>
      <s:c r="D26" s="194" t="n"/>
      <s:c r="E26" s="194" t="n"/>
      <s:c r="F26" s="194" t="n"/>
      <s:c r="G26" s="194" t="n"/>
      <s:c r="H26" s="194" t="n"/>
      <s:c r="I26" s="194" t="n"/>
      <s:c r="J26" s="194" t="n"/>
      <s:c r="K26" s="194" t="n"/>
      <s:c r="L26" s="194" t="n"/>
      <s:c r="M26" s="194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5">
        <s:f>IF(C12=0,"n/a",SUM(C23:M23)/C12)</s:f>
        <s:v>2.8961292874498503</s:v>
      </s:c>
      <s:c r="D27" s="194" t="n"/>
      <s:c r="E27" s="194" t="n"/>
      <s:c r="F27" s="194" t="n"/>
      <s:c r="G27" s="194" t="n"/>
      <s:c r="H27" s="194" t="n"/>
      <s:c r="I27" s="194" t="n"/>
      <s:c r="J27" s="194" t="n"/>
      <s:c r="K27" s="194" t="n"/>
      <s:c r="L27" s="194" t="n"/>
      <s:c r="M27" s="194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196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197" t="n"/>
      <s:c r="E28" s="197" t="n"/>
      <s:c r="F28" s="197" t="n"/>
      <s:c r="G28" s="197" t="n"/>
      <s:c r="H28" s="197" t="n"/>
      <s:c r="I28" s="197" t="n"/>
      <s:c r="J28" s="197" t="n"/>
      <s:c r="K28" s="197" t="n"/>
      <s:c r="L28" s="197" t="n"/>
      <s:c r="M28" s="197" t="n"/>
    </s:row>
    <s:row r="29">
      <s:c r="A29" s="45" t="str"/>
      <s:c r="B29" s="45" t="str"/>
      <s:c r="C29" s="189" t="n"/>
      <s:c r="D29" s="189" t="n"/>
      <s:c r="E29" s="189" t="n"/>
      <s:c r="F29" s="189" t="n"/>
      <s:c r="G29" s="189" t="n"/>
      <s:c r="H29" s="189" t="n"/>
      <s:c r="I29" s="189" t="n"/>
      <s:c r="J29" s="189" t="n"/>
      <s:c r="K29" s="189" t="n"/>
      <s:c r="L29" s="189" t="n"/>
      <s:c r="M29" s="189" t="n"/>
    </s:row>
    <s:row r="30">
      <s:c r="A30" s="50" t="inlineStr">
        <s:is>
          <s:t>C. 能源托管/EMC｜业主侧</s:t>
        </s:is>
      </s:c>
      <s:c r="B30" s="50" t="str"/>
      <s:c r="C30" s="190" t="n"/>
      <s:c r="D30" s="190" t="n"/>
      <s:c r="E30" s="190" t="n"/>
      <s:c r="F30" s="190" t="n"/>
      <s:c r="G30" s="190" t="n"/>
      <s:c r="H30" s="190" t="n"/>
      <s:c r="I30" s="190" t="n"/>
      <s:c r="J30" s="190" t="n"/>
      <s:c r="K30" s="190" t="n"/>
      <s:c r="L30" s="190" t="n"/>
      <s:c r="M30" s="190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89">
        <s:f>0</s:f>
        <s:v/>
      </s:c>
      <s:c r="D31" s="189">
        <s:f>D16*(1-'04_Mode_Params'!$C$10)</s:f>
        <s:v>1028000.0</s:v>
      </s:c>
      <s:c r="E31" s="189">
        <s:f>E16*(1-'04_Mode_Params'!$C$10)</s:f>
        <s:v>1028000.0</s:v>
      </s:c>
      <s:c r="F31" s="189">
        <s:f>F16*(1-'04_Mode_Params'!$C$10)</s:f>
        <s:v>1028000.0</s:v>
      </s:c>
      <s:c r="G31" s="189">
        <s:f>G16*(1-'04_Mode_Params'!$C$10)</s:f>
        <s:v>1028000.0</s:v>
      </s:c>
      <s:c r="H31" s="189">
        <s:f>H16*(1-'04_Mode_Params'!$C$10)</s:f>
        <s:v>1028000.0</s:v>
      </s:c>
      <s:c r="I31" s="189">
        <s:f>I16*(1-'04_Mode_Params'!$C$10)</s:f>
        <s:v>1028000.0</s:v>
      </s:c>
      <s:c r="J31" s="189">
        <s:f>J16*(1-'04_Mode_Params'!$C$10)</s:f>
        <s:v>1028000.0</s:v>
      </s:c>
      <s:c r="K31" s="189">
        <s:f>K16*(1-'04_Mode_Params'!$C$10)</s:f>
        <s:v>1028000.0</s:v>
      </s:c>
      <s:c r="L31" s="189">
        <s:f>L16*(1-'04_Mode_Params'!$C$10)</s:f>
        <s:v>1028000.0</s:v>
      </s:c>
      <s:c r="M31" s="189">
        <s:f>M16*(1-'04_Mode_Params'!$C$10)</s:f>
        <s:v>1028000.0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89">
        <s:f>0</s:f>
        <s:v/>
      </s:c>
      <s:c r="D32" s="189">
        <s:f>D13</s:f>
        <s:v>1635056.0</s:v>
      </s:c>
      <s:c r="E32" s="189">
        <s:f>E13</s:f>
        <s:v>1635056.0</s:v>
      </s:c>
      <s:c r="F32" s="189">
        <s:f>F13</s:f>
        <s:v>1635056.0</s:v>
      </s:c>
      <s:c r="G32" s="189">
        <s:f>G13</s:f>
        <s:v>1635056.0</s:v>
      </s:c>
      <s:c r="H32" s="189">
        <s:f>H13</s:f>
        <s:v>1635056.0</s:v>
      </s:c>
      <s:c r="I32" s="189">
        <s:f>I13</s:f>
        <s:v>1635056.0</s:v>
      </s:c>
      <s:c r="J32" s="189">
        <s:f>J13</s:f>
        <s:v>1635056.0</s:v>
      </s:c>
      <s:c r="K32" s="189">
        <s:f>K13</s:f>
        <s:v>1635056.0</s:v>
      </s:c>
      <s:c r="L32" s="189">
        <s:f>L13</s:f>
        <s:v>1635056.0</s:v>
      </s:c>
      <s:c r="M32" s="189">
        <s:f>M13</s:f>
        <s:v>1635056.0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89">
        <s:f>0</s:f>
        <s:v/>
      </s:c>
      <s:c r="D33" s="189">
        <s:f>'02_Inputs'!$D$17*(1+'02_Inputs'!$D$15)^(1-1)</s:f>
        <s:v/>
      </s:c>
      <s:c r="E33" s="189">
        <s:f>'02_Inputs'!$D$17*(1+'02_Inputs'!$D$15)^(2-1)</s:f>
        <s:v/>
      </s:c>
      <s:c r="F33" s="189">
        <s:f>'02_Inputs'!$D$17*(1+'02_Inputs'!$D$15)^(3-1)</s:f>
        <s:v/>
      </s:c>
      <s:c r="G33" s="189">
        <s:f>'02_Inputs'!$D$17*(1+'02_Inputs'!$D$15)^(4-1)</s:f>
        <s:v/>
      </s:c>
      <s:c r="H33" s="189">
        <s:f>'02_Inputs'!$D$17*(1+'02_Inputs'!$D$15)^(5-1)</s:f>
        <s:v/>
      </s:c>
      <s:c r="I33" s="189">
        <s:f>'02_Inputs'!$D$17*(1+'02_Inputs'!$D$15)^(6-1)</s:f>
        <s:v/>
      </s:c>
      <s:c r="J33" s="189">
        <s:f>'02_Inputs'!$D$17*(1+'02_Inputs'!$D$15)^(7-1)</s:f>
        <s:v/>
      </s:c>
      <s:c r="K33" s="189">
        <s:f>'02_Inputs'!$D$17*(1+'02_Inputs'!$D$15)^(8-1)</s:f>
        <s:v/>
      </s:c>
      <s:c r="L33" s="189">
        <s:f>'02_Inputs'!$D$17*(1+'02_Inputs'!$D$15)^(9-1)</s:f>
        <s:v/>
      </s:c>
      <s:c r="M33" s="189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1">
        <s:f>0</s:f>
        <s:v/>
      </s:c>
      <s:c r="D34" s="191">
        <s:f>D31+D32+D33</s:f>
        <s:v>2663056.0</s:v>
      </s:c>
      <s:c r="E34" s="191">
        <s:f>E31+E32+E33</s:f>
        <s:v>2663056.0</s:v>
      </s:c>
      <s:c r="F34" s="191">
        <s:f>F31+F32+F33</s:f>
        <s:v>2663056.0</s:v>
      </s:c>
      <s:c r="G34" s="191">
        <s:f>G31+G32+G33</s:f>
        <s:v>2663056.0</s:v>
      </s:c>
      <s:c r="H34" s="191">
        <s:f>H31+H32+H33</s:f>
        <s:v>2663056.0</s:v>
      </s:c>
      <s:c r="I34" s="191">
        <s:f>I31+I32+I33</s:f>
        <s:v>2663056.0</s:v>
      </s:c>
      <s:c r="J34" s="191">
        <s:f>J31+J32+J33</s:f>
        <s:v>2663056.0</s:v>
      </s:c>
      <s:c r="K34" s="191">
        <s:f>K31+K32+K33</s:f>
        <s:v>2663056.0</s:v>
      </s:c>
      <s:c r="L34" s="191">
        <s:f>L31+L32+L33</s:f>
        <s:v>2663056.0</s:v>
      </s:c>
      <s:c r="M34" s="191">
        <s:f>M31+M32+M33</s:f>
        <s:v>2663056.0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1">
        <s:f>0</s:f>
        <s:v/>
      </s:c>
      <s:c r="D35" s="191">
        <s:f>D8-D34</s:f>
        <s:v>2944.0</s:v>
      </s:c>
      <s:c r="E35" s="191">
        <s:f>E8-E34</s:f>
        <s:v>2944.0</s:v>
      </s:c>
      <s:c r="F35" s="191">
        <s:f>F8-F34</s:f>
        <s:v>2944.0</s:v>
      </s:c>
      <s:c r="G35" s="191">
        <s:f>G8-G34</s:f>
        <s:v>2944.0</s:v>
      </s:c>
      <s:c r="H35" s="191">
        <s:f>H8-H34</s:f>
        <s:v>2944.0</s:v>
      </s:c>
      <s:c r="I35" s="191">
        <s:f>I8-I34</s:f>
        <s:v>2944.0</s:v>
      </s:c>
      <s:c r="J35" s="191">
        <s:f>J8-J34</s:f>
        <s:v>2944.0</s:v>
      </s:c>
      <s:c r="K35" s="191">
        <s:f>K8-K34</s:f>
        <s:v>2944.0</s:v>
      </s:c>
      <s:c r="L35" s="191">
        <s:f>L8-L34</s:f>
        <s:v>2944.0</s:v>
      </s:c>
      <s:c r="M35" s="191">
        <s:f>M8-M34</s:f>
        <s:v>2944.0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4">
        <s:f>0</s:f>
        <s:v/>
      </s:c>
      <s:c r="D36" s="194">
        <s:f>IF(D8=0,0,D35/D8)</s:f>
        <s:v/>
      </s:c>
      <s:c r="E36" s="194">
        <s:f>IF(E8=0,0,E35/E8)</s:f>
        <s:v/>
      </s:c>
      <s:c r="F36" s="194">
        <s:f>IF(F8=0,0,F35/F8)</s:f>
        <s:v/>
      </s:c>
      <s:c r="G36" s="194">
        <s:f>IF(G8=0,0,G35/G8)</s:f>
        <s:v/>
      </s:c>
      <s:c r="H36" s="194">
        <s:f>IF(H8=0,0,H35/H8)</s:f>
        <s:v/>
      </s:c>
      <s:c r="I36" s="194">
        <s:f>IF(I8=0,0,I35/I8)</s:f>
        <s:v/>
      </s:c>
      <s:c r="J36" s="194">
        <s:f>IF(J8=0,0,J35/J8)</s:f>
        <s:v/>
      </s:c>
      <s:c r="K36" s="194">
        <s:f>IF(K8=0,0,K35/K8)</s:f>
        <s:v/>
      </s:c>
      <s:c r="L36" s="194">
        <s:f>IF(L8=0,0,L35/L8)</s:f>
        <s:v/>
      </s:c>
      <s:c r="M36" s="194">
        <s:f>IF(M8=0,0,M35/M8)</s:f>
        <s:v/>
      </s:c>
    </s:row>
    <s:row r="37">
      <s:c r="A37" s="45" t="str"/>
      <s:c r="B37" s="45" t="str"/>
      <s:c r="C37" s="189" t="n"/>
      <s:c r="D37" s="189" t="n"/>
      <s:c r="E37" s="189" t="n"/>
      <s:c r="F37" s="189" t="n"/>
      <s:c r="G37" s="189" t="n"/>
      <s:c r="H37" s="189" t="n"/>
      <s:c r="I37" s="189" t="n"/>
      <s:c r="J37" s="189" t="n"/>
      <s:c r="K37" s="189" t="n"/>
      <s:c r="L37" s="189" t="n"/>
      <s:c r="M37" s="189" t="n"/>
    </s:row>
    <s:row r="38">
      <s:c r="A38" s="50" t="inlineStr">
        <s:is>
          <s:t>D. LaaS/AI订阅｜服务商现金流</s:t>
        </s:is>
      </s:c>
      <s:c r="B38" s="50" t="str"/>
      <s:c r="C38" s="190" t="n"/>
      <s:c r="D38" s="190" t="n"/>
      <s:c r="E38" s="190" t="n"/>
      <s:c r="F38" s="190" t="n"/>
      <s:c r="G38" s="190" t="n"/>
      <s:c r="H38" s="190" t="n"/>
      <s:c r="I38" s="190" t="n"/>
      <s:c r="J38" s="190" t="n"/>
      <s:c r="K38" s="190" t="n"/>
      <s:c r="L38" s="190" t="n"/>
      <s:c r="M38" s="190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89">
        <s:f>0</s:f>
        <s:v/>
      </s:c>
      <s:c r="D40" s="189">
        <s:f>MAX(0,('04_Mode_Params'!$D$6*(1+'02_Inputs'!$D$16)^(1-1))-('02_Inputs'!$D$45/'02_Inputs'!$D$5))</s:f>
        <s:v>2320000.0</s:v>
      </s:c>
      <s:c r="E40" s="189">
        <s:f>MAX(0,('04_Mode_Params'!$D$6*(1+'02_Inputs'!$D$16)^(2-1))-('02_Inputs'!$D$45/'02_Inputs'!$D$5))</s:f>
        <s:v>2320000.0</s:v>
      </s:c>
      <s:c r="F40" s="189">
        <s:f>MAX(0,('04_Mode_Params'!$D$6*(1+'02_Inputs'!$D$16)^(3-1))-('02_Inputs'!$D$45/'02_Inputs'!$D$5))</s:f>
        <s:v>2320000.0</s:v>
      </s:c>
      <s:c r="G40" s="189">
        <s:f>MAX(0,('04_Mode_Params'!$D$6*(1+'02_Inputs'!$D$16)^(4-1))-('02_Inputs'!$D$45/'02_Inputs'!$D$5))</s:f>
        <s:v>2320000.0</s:v>
      </s:c>
      <s:c r="H40" s="189">
        <s:f>MAX(0,('04_Mode_Params'!$D$6*(1+'02_Inputs'!$D$16)^(5-1))-('02_Inputs'!$D$45/'02_Inputs'!$D$5))</s:f>
        <s:v>2320000.0</s:v>
      </s:c>
      <s:c r="I40" s="189">
        <s:f>MAX(0,('04_Mode_Params'!$D$6*(1+'02_Inputs'!$D$16)^(6-1))-('02_Inputs'!$D$45/'02_Inputs'!$D$5))</s:f>
        <s:v>2320000.0</s:v>
      </s:c>
      <s:c r="J40" s="189">
        <s:f>MAX(0,MAX((('04_Mode_Params'!$D$6*(1+'02_Inputs'!$D$16)^(7-1))*0.2),('04_Mode_Params'!$D$6*(1+'02_Inputs'!$D$16)^(7-1))-'02_Inputs'!$D$46)-('02_Inputs'!$D$45/'02_Inputs'!$D$5))</s:f>
        <s:v>2320000.0</s:v>
      </s:c>
      <s:c r="K40" s="189">
        <s:f>MAX(0,MAX((('04_Mode_Params'!$D$6*(1+'02_Inputs'!$D$16)^(8-1))*0.2),('04_Mode_Params'!$D$6*(1+'02_Inputs'!$D$16)^(8-1))-'02_Inputs'!$D$46)-('02_Inputs'!$D$45/'02_Inputs'!$D$5))</s:f>
        <s:v>2320000.0</s:v>
      </s:c>
      <s:c r="L40" s="189">
        <s:f>MAX(0,MAX((('04_Mode_Params'!$D$6*(1+'02_Inputs'!$D$16)^(9-1))*0.2),('04_Mode_Params'!$D$6*(1+'02_Inputs'!$D$16)^(9-1))-'02_Inputs'!$D$46)-('02_Inputs'!$D$45/'02_Inputs'!$D$5))</s:f>
        <s:v>2320000.0</s:v>
      </s:c>
      <s:c r="M40" s="189">
        <s:f>MAX(0,MAX((('04_Mode_Params'!$D$6*(1+'02_Inputs'!$D$16)^(10-1))*0.2),('04_Mode_Params'!$D$6*(1+'02_Inputs'!$D$16)^(10-1))-'02_Inputs'!$D$46)-('02_Inputs'!$D$45/'02_Inputs'!$D$5))</s:f>
        <s:v>2320000.0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89">
        <s:f>'02_Inputs'!$D$45</s:f>
        <s:v/>
      </s:c>
      <s:c r="D41" s="189">
        <s:f>'04_Mode_Params'!$D$7*(1+'02_Inputs'!$D$16)^(1-1)</s:f>
        <s:v/>
      </s:c>
      <s:c r="E41" s="189">
        <s:f>'04_Mode_Params'!$D$7*(1+'02_Inputs'!$D$16)^(2-1)</s:f>
        <s:v/>
      </s:c>
      <s:c r="F41" s="189">
        <s:f>'04_Mode_Params'!$D$7*(1+'02_Inputs'!$D$16)^(3-1)</s:f>
        <s:v/>
      </s:c>
      <s:c r="G41" s="189">
        <s:f>'04_Mode_Params'!$D$7*(1+'02_Inputs'!$D$16)^(4-1)</s:f>
        <s:v/>
      </s:c>
      <s:c r="H41" s="189">
        <s:f>'04_Mode_Params'!$D$7*(1+'02_Inputs'!$D$16)^(5-1)</s:f>
        <s:v/>
      </s:c>
      <s:c r="I41" s="189">
        <s:f>'04_Mode_Params'!$D$7*(1+'02_Inputs'!$D$16)^(6-1)</s:f>
        <s:v/>
      </s:c>
      <s:c r="J41" s="189">
        <s:f>'04_Mode_Params'!$D$7*(1+'02_Inputs'!$D$16)^(7-1)</s:f>
        <s:v/>
      </s:c>
      <s:c r="K41" s="189">
        <s:f>'04_Mode_Params'!$D$7*(1+'02_Inputs'!$D$16)^(8-1)</s:f>
        <s:v/>
      </s:c>
      <s:c r="L41" s="189">
        <s:f>'04_Mode_Params'!$D$7*(1+'02_Inputs'!$D$16)^(9-1)</s:f>
        <s:v/>
      </s:c>
      <s:c r="M41" s="189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89">
        <s:f>0</s:f>
        <s:v/>
      </s:c>
      <s:c r="D42" s="189">
        <s:f>IF(AND(1='02_Inputs'!$D$36,1&gt;0),'02_Inputs'!$D$37,0)</s:f>
        <s:v/>
      </s:c>
      <s:c r="E42" s="189">
        <s:f>IF(AND(2='02_Inputs'!$D$36,2&gt;0),'02_Inputs'!$D$37,0)</s:f>
        <s:v/>
      </s:c>
      <s:c r="F42" s="189">
        <s:f>IF(AND(3='02_Inputs'!$D$36,3&gt;0),'02_Inputs'!$D$37,0)</s:f>
        <s:v/>
      </s:c>
      <s:c r="G42" s="189">
        <s:f>IF(AND(4='02_Inputs'!$D$36,4&gt;0),'02_Inputs'!$D$37,0)</s:f>
        <s:v/>
      </s:c>
      <s:c r="H42" s="189">
        <s:f>IF(AND(5='02_Inputs'!$D$36,5&gt;0),'02_Inputs'!$D$37,0)</s:f>
        <s:v/>
      </s:c>
      <s:c r="I42" s="189">
        <s:f>IF(AND(6='02_Inputs'!$D$36,6&gt;0),'02_Inputs'!$D$37,0)</s:f>
        <s:v/>
      </s:c>
      <s:c r="J42" s="189">
        <s:f>IF(AND(7='02_Inputs'!$D$36,7&gt;0),'02_Inputs'!$D$37,0)</s:f>
        <s:v/>
      </s:c>
      <s:c r="K42" s="189">
        <s:f>IF(AND(8='02_Inputs'!$D$36,8&gt;0),'02_Inputs'!$D$37,0)</s:f>
        <s:v/>
      </s:c>
      <s:c r="L42" s="189">
        <s:f>IF(AND(9='02_Inputs'!$D$36,9&gt;0),'02_Inputs'!$D$37,0)</s:f>
        <s:v/>
      </s:c>
      <s:c r="M42" s="189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89">
        <s:f>0</s:f>
        <s:v/>
      </s:c>
      <s:c r="D43" s="189">
        <s:f>D6*(1-'04_Mode_Params'!$D$8)</s:f>
        <s:v/>
      </s:c>
      <s:c r="E43" s="189">
        <s:f>E6*(1-'04_Mode_Params'!$D$8)</s:f>
        <s:v/>
      </s:c>
      <s:c r="F43" s="189">
        <s:f>F6*(1-'04_Mode_Params'!$D$8)</s:f>
        <s:v/>
      </s:c>
      <s:c r="G43" s="189">
        <s:f>G6*(1-'04_Mode_Params'!$D$8)</s:f>
        <s:v/>
      </s:c>
      <s:c r="H43" s="189">
        <s:f>H6*(1-'04_Mode_Params'!$D$8)</s:f>
        <s:v/>
      </s:c>
      <s:c r="I43" s="189">
        <s:f>I6*(1-'04_Mode_Params'!$D$8)</s:f>
        <s:v/>
      </s:c>
      <s:c r="J43" s="189">
        <s:f>J6*(1-'04_Mode_Params'!$D$8)</s:f>
        <s:v/>
      </s:c>
      <s:c r="K43" s="189">
        <s:f>K6*(1-'04_Mode_Params'!$D$8)</s:f>
        <s:v/>
      </s:c>
      <s:c r="L43" s="189">
        <s:f>L6*(1-'04_Mode_Params'!$D$8)</s:f>
        <s:v/>
      </s:c>
      <s:c r="M43" s="189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1">
        <s:f>0</s:f>
        <s:v/>
      </s:c>
      <s:c r="D48" s="191">
        <s:f>D40+D41+D42</s:f>
        <s:v/>
      </s:c>
      <s:c r="E48" s="191">
        <s:f>E40+E41+E42</s:f>
        <s:v/>
      </s:c>
      <s:c r="F48" s="191">
        <s:f>F40+F41+F42</s:f>
        <s:v/>
      </s:c>
      <s:c r="G48" s="191">
        <s:f>G40+G41+G42</s:f>
        <s:v/>
      </s:c>
      <s:c r="H48" s="191">
        <s:f>H40+H41+H42</s:f>
        <s:v/>
      </s:c>
      <s:c r="I48" s="191">
        <s:f>I40+I41+I42</s:f>
        <s:v/>
      </s:c>
      <s:c r="J48" s="191">
        <s:f>J40+J41+J42</s:f>
        <s:v/>
      </s:c>
      <s:c r="K48" s="191">
        <s:f>K40+K41+K42</s:f>
        <s:v/>
      </s:c>
      <s:c r="L48" s="191">
        <s:f>L40+L41+L42</s:f>
        <s:v/>
      </s:c>
      <s:c r="M48" s="191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1">
        <s:f>C39</s:f>
        <s:v/>
      </s:c>
      <s:c r="D49" s="191">
        <s:f>D39+D44+D45+D46+D47</s:f>
        <s:v/>
      </s:c>
      <s:c r="E49" s="191">
        <s:f>E39+E44+E45+E46+E47</s:f>
        <s:v/>
      </s:c>
      <s:c r="F49" s="191">
        <s:f>F39+F44+F45+F46+F47</s:f>
        <s:v/>
      </s:c>
      <s:c r="G49" s="191">
        <s:f>G39+G44+G45+G46+G47</s:f>
        <s:v/>
      </s:c>
      <s:c r="H49" s="191">
        <s:f>H39+H44+H45+H46+H47</s:f>
        <s:v/>
      </s:c>
      <s:c r="I49" s="191">
        <s:f>I39+I44+I45+I46+I47</s:f>
        <s:v/>
      </s:c>
      <s:c r="J49" s="191">
        <s:f>J39+J44+J45+J46+J47</s:f>
        <s:v/>
      </s:c>
      <s:c r="K49" s="191">
        <s:f>K39+K44+K45+K46+K47</s:f>
        <s:v/>
      </s:c>
      <s:c r="L49" s="191">
        <s:f>L39+L44+L45+L46+L47</s:f>
        <s:v/>
      </s:c>
      <s:c r="M49" s="191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1">
        <s:f>C48-C49</s:f>
        <s:v/>
      </s:c>
      <s:c r="D50" s="191">
        <s:f>D48-D49</s:f>
        <s:v/>
      </s:c>
      <s:c r="E50" s="191">
        <s:f>E48-E49</s:f>
        <s:v/>
      </s:c>
      <s:c r="F50" s="191">
        <s:f>F48-F49</s:f>
        <s:v/>
      </s:c>
      <s:c r="G50" s="191">
        <s:f>G48-G49</s:f>
        <s:v/>
      </s:c>
      <s:c r="H50" s="191">
        <s:f>H48-H49</s:f>
        <s:v/>
      </s:c>
      <s:c r="I50" s="191">
        <s:f>I48-I49</s:f>
        <s:v/>
      </s:c>
      <s:c r="J50" s="191">
        <s:f>J48-J49</s:f>
        <s:v/>
      </s:c>
      <s:c r="K50" s="191">
        <s:f>K48-K49</s:f>
        <s:v/>
      </s:c>
      <s:c r="L50" s="191">
        <s:f>L48-L49</s:f>
        <s:v/>
      </s:c>
      <s:c r="M50" s="191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1">
        <s:f>C50</s:f>
        <s:v/>
      </s:c>
      <s:c r="D51" s="191">
        <s:f>C51+D50</s:f>
        <s:v/>
      </s:c>
      <s:c r="E51" s="191">
        <s:f>D51+E50</s:f>
        <s:v/>
      </s:c>
      <s:c r="F51" s="191">
        <s:f>E51+F50</s:f>
        <s:v/>
      </s:c>
      <s:c r="G51" s="191">
        <s:f>F51+G50</s:f>
        <s:v/>
      </s:c>
      <s:c r="H51" s="191">
        <s:f>G51+H50</s:f>
        <s:v/>
      </s:c>
      <s:c r="I51" s="191">
        <s:f>H51+I50</s:f>
        <s:v/>
      </s:c>
      <s:c r="J51" s="191">
        <s:f>I51+J50</s:f>
        <s:v/>
      </s:c>
      <s:c r="K51" s="191">
        <s:f>J51+K50</s:f>
        <s:v/>
      </s:c>
      <s:c r="L51" s="191">
        <s:f>K51+L50</s:f>
        <s:v/>
      </s:c>
      <s:c r="M51" s="191">
        <s:f>L51+M50</s:f>
        <s:v>12318600.0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2">
        <s:f>NPV('02_Inputs'!$D$13,D50:M50)+C50</s:f>
        <s:v>6024809.945569791</s:v>
      </s:c>
      <s:c r="D52" s="189" t="n"/>
      <s:c r="E52" s="189" t="n"/>
      <s:c r="F52" s="189" t="n"/>
      <s:c r="G52" s="189" t="n"/>
      <s:c r="H52" s="189" t="n"/>
      <s:c r="I52" s="189" t="n"/>
      <s:c r="J52" s="189" t="n"/>
      <s:c r="K52" s="189" t="n"/>
      <s:c r="L52" s="189" t="n"/>
      <s:c r="M52" s="189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3">
        <s:f>IFERROR(IRR(C50:M50),"n/a")</s:f>
        <s:v>0.594506713008047</s:v>
      </s:c>
      <s:c r="D53" s="194" t="n"/>
      <s:c r="E53" s="194" t="n"/>
      <s:c r="F53" s="194" t="n"/>
      <s:c r="G53" s="194" t="n"/>
      <s:c r="H53" s="194" t="n"/>
      <s:c r="I53" s="194" t="n"/>
      <s:c r="J53" s="194" t="n"/>
      <s:c r="K53" s="194" t="n"/>
      <s:c r="L53" s="194" t="n"/>
      <s:c r="M53" s="194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5">
        <s:f>IF(C39=0,"n/a",SUM(C50:M50)/C39)</s:f>
        <s:v>4.895350990924245</s:v>
      </s:c>
      <s:c r="D54" s="194" t="n"/>
      <s:c r="E54" s="194" t="n"/>
      <s:c r="F54" s="194" t="n"/>
      <s:c r="G54" s="194" t="n"/>
      <s:c r="H54" s="194" t="n"/>
      <s:c r="I54" s="194" t="n"/>
      <s:c r="J54" s="194" t="n"/>
      <s:c r="K54" s="194" t="n"/>
      <s:c r="L54" s="194" t="n"/>
      <s:c r="M54" s="194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196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197" t="n"/>
      <s:c r="E55" s="197" t="n"/>
      <s:c r="F55" s="197" t="n"/>
      <s:c r="G55" s="197" t="n"/>
      <s:c r="H55" s="197" t="n"/>
      <s:c r="I55" s="197" t="n"/>
      <s:c r="J55" s="197" t="n"/>
      <s:c r="K55" s="197" t="n"/>
      <s:c r="L55" s="197" t="n"/>
      <s:c r="M55" s="197" t="n"/>
    </s:row>
    <s:row r="56">
      <s:c r="A56" s="45" t="str"/>
      <s:c r="B56" s="45" t="str"/>
      <s:c r="C56" s="189" t="n"/>
      <s:c r="D56" s="189" t="n"/>
      <s:c r="E56" s="189" t="n"/>
      <s:c r="F56" s="189" t="n"/>
      <s:c r="G56" s="189" t="n"/>
      <s:c r="H56" s="189" t="n"/>
      <s:c r="I56" s="189" t="n"/>
      <s:c r="J56" s="189" t="n"/>
      <s:c r="K56" s="189" t="n"/>
      <s:c r="L56" s="189" t="n"/>
      <s:c r="M56" s="189" t="n"/>
    </s:row>
    <s:row r="57">
      <s:c r="A57" s="50" t="inlineStr">
        <s:is>
          <s:t>E. LaaS/AI订阅｜业主侧</s:t>
        </s:is>
      </s:c>
      <s:c r="B57" s="50" t="str"/>
      <s:c r="C57" s="190" t="n"/>
      <s:c r="D57" s="190" t="n"/>
      <s:c r="E57" s="190" t="n"/>
      <s:c r="F57" s="190" t="n"/>
      <s:c r="G57" s="190" t="n"/>
      <s:c r="H57" s="190" t="n"/>
      <s:c r="I57" s="190" t="n"/>
      <s:c r="J57" s="190" t="n"/>
      <s:c r="K57" s="190" t="n"/>
      <s:c r="L57" s="190" t="n"/>
      <s:c r="M57" s="190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89">
        <s:f>0</s:f>
        <s:v/>
      </s:c>
      <s:c r="D58" s="189">
        <s:f>D43*(1-'04_Mode_Params'!$D$10)</s:f>
        <s:v>308400.00000000006</s:v>
      </s:c>
      <s:c r="E58" s="189">
        <s:f>E43*(1-'04_Mode_Params'!$D$10)</s:f>
        <s:v>308400.00000000006</s:v>
      </s:c>
      <s:c r="F58" s="189">
        <s:f>F43*(1-'04_Mode_Params'!$D$10)</s:f>
        <s:v>308400.00000000006</s:v>
      </s:c>
      <s:c r="G58" s="189">
        <s:f>G43*(1-'04_Mode_Params'!$D$10)</s:f>
        <s:v>308400.00000000006</s:v>
      </s:c>
      <s:c r="H58" s="189">
        <s:f>H43*(1-'04_Mode_Params'!$D$10)</s:f>
        <s:v>308400.00000000006</s:v>
      </s:c>
      <s:c r="I58" s="189">
        <s:f>I43*(1-'04_Mode_Params'!$D$10)</s:f>
        <s:v>308400.00000000006</s:v>
      </s:c>
      <s:c r="J58" s="189">
        <s:f>J43*(1-'04_Mode_Params'!$D$10)</s:f>
        <s:v>308400.00000000006</s:v>
      </s:c>
      <s:c r="K58" s="189">
        <s:f>K43*(1-'04_Mode_Params'!$D$10)</s:f>
        <s:v>308400.00000000006</s:v>
      </s:c>
      <s:c r="L58" s="189">
        <s:f>L43*(1-'04_Mode_Params'!$D$10)</s:f>
        <s:v>308400.00000000006</s:v>
      </s:c>
      <s:c r="M58" s="189">
        <s:f>M43*(1-'04_Mode_Params'!$D$10)</s:f>
        <s:v>308400.00000000006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89">
        <s:f>0</s:f>
        <s:v/>
      </s:c>
      <s:c r="D59" s="189">
        <s:f>D40</s:f>
        <s:v>2320000.0</s:v>
      </s:c>
      <s:c r="E59" s="189">
        <s:f>E40</s:f>
        <s:v>2320000.0</s:v>
      </s:c>
      <s:c r="F59" s="189">
        <s:f>F40</s:f>
        <s:v>2320000.0</s:v>
      </s:c>
      <s:c r="G59" s="189">
        <s:f>G40</s:f>
        <s:v>2320000.0</s:v>
      </s:c>
      <s:c r="H59" s="189">
        <s:f>H40</s:f>
        <s:v>2320000.0</s:v>
      </s:c>
      <s:c r="I59" s="189">
        <s:f>I40</s:f>
        <s:v>2320000.0</s:v>
      </s:c>
      <s:c r="J59" s="189">
        <s:f>J40</s:f>
        <s:v>2320000.0</s:v>
      </s:c>
      <s:c r="K59" s="189">
        <s:f>K40</s:f>
        <s:v>2320000.0</s:v>
      </s:c>
      <s:c r="L59" s="189">
        <s:f>L40</s:f>
        <s:v>2320000.0</s:v>
      </s:c>
      <s:c r="M59" s="189">
        <s:f>M40</s:f>
        <s:v>2320000.0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89">
        <s:f>0</s:f>
        <s:v/>
      </s:c>
      <s:c r="D60" s="189">
        <s:f>'02_Inputs'!$D$17*(1+'02_Inputs'!$D$15)^(1-1)</s:f>
        <s:v/>
      </s:c>
      <s:c r="E60" s="189">
        <s:f>'02_Inputs'!$D$17*(1+'02_Inputs'!$D$15)^(2-1)</s:f>
        <s:v/>
      </s:c>
      <s:c r="F60" s="189">
        <s:f>'02_Inputs'!$D$17*(1+'02_Inputs'!$D$15)^(3-1)</s:f>
        <s:v/>
      </s:c>
      <s:c r="G60" s="189">
        <s:f>'02_Inputs'!$D$17*(1+'02_Inputs'!$D$15)^(4-1)</s:f>
        <s:v/>
      </s:c>
      <s:c r="H60" s="189">
        <s:f>'02_Inputs'!$D$17*(1+'02_Inputs'!$D$15)^(5-1)</s:f>
        <s:v/>
      </s:c>
      <s:c r="I60" s="189">
        <s:f>'02_Inputs'!$D$17*(1+'02_Inputs'!$D$15)^(6-1)</s:f>
        <s:v/>
      </s:c>
      <s:c r="J60" s="189">
        <s:f>'02_Inputs'!$D$17*(1+'02_Inputs'!$D$15)^(7-1)</s:f>
        <s:v/>
      </s:c>
      <s:c r="K60" s="189">
        <s:f>'02_Inputs'!$D$17*(1+'02_Inputs'!$D$15)^(8-1)</s:f>
        <s:v/>
      </s:c>
      <s:c r="L60" s="189">
        <s:f>'02_Inputs'!$D$17*(1+'02_Inputs'!$D$15)^(9-1)</s:f>
        <s:v/>
      </s:c>
      <s:c r="M60" s="189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1">
        <s:f>0</s:f>
        <s:v/>
      </s:c>
      <s:c r="D61" s="191">
        <s:f>D58+D59+D60</s:f>
        <s:v>2628400.0</s:v>
      </s:c>
      <s:c r="E61" s="191">
        <s:f>E58+E59+E60</s:f>
        <s:v>2628400.0</s:v>
      </s:c>
      <s:c r="F61" s="191">
        <s:f>F58+F59+F60</s:f>
        <s:v>2628400.0</s:v>
      </s:c>
      <s:c r="G61" s="191">
        <s:f>G58+G59+G60</s:f>
        <s:v>2628400.0</s:v>
      </s:c>
      <s:c r="H61" s="191">
        <s:f>H58+H59+H60</s:f>
        <s:v>2628400.0</s:v>
      </s:c>
      <s:c r="I61" s="191">
        <s:f>I58+I59+I60</s:f>
        <s:v>2628400.0</s:v>
      </s:c>
      <s:c r="J61" s="191">
        <s:f>J58+J59+J60</s:f>
        <s:v>2628400.0</s:v>
      </s:c>
      <s:c r="K61" s="191">
        <s:f>K58+K59+K60</s:f>
        <s:v>2628400.0</s:v>
      </s:c>
      <s:c r="L61" s="191">
        <s:f>L58+L59+L60</s:f>
        <s:v>2628400.0</s:v>
      </s:c>
      <s:c r="M61" s="191">
        <s:f>M58+M59+M60</s:f>
        <s:v>2628400.0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1">
        <s:f>0</s:f>
        <s:v/>
      </s:c>
      <s:c r="D62" s="191">
        <s:f>D8-D61</s:f>
        <s:v>37600.0</s:v>
      </s:c>
      <s:c r="E62" s="191">
        <s:f>E8-E61</s:f>
        <s:v>37600.0</s:v>
      </s:c>
      <s:c r="F62" s="191">
        <s:f>F8-F61</s:f>
        <s:v>37600.0</s:v>
      </s:c>
      <s:c r="G62" s="191">
        <s:f>G8-G61</s:f>
        <s:v>37600.0</s:v>
      </s:c>
      <s:c r="H62" s="191">
        <s:f>H8-H61</s:f>
        <s:v>37600.0</s:v>
      </s:c>
      <s:c r="I62" s="191">
        <s:f>I8-I61</s:f>
        <s:v>37600.0</s:v>
      </s:c>
      <s:c r="J62" s="191">
        <s:f>J8-J61</s:f>
        <s:v>37600.0</s:v>
      </s:c>
      <s:c r="K62" s="191">
        <s:f>K8-K61</s:f>
        <s:v>37600.0</s:v>
      </s:c>
      <s:c r="L62" s="191">
        <s:f>L8-L61</s:f>
        <s:v>37600.0</s:v>
      </s:c>
      <s:c r="M62" s="191">
        <s:f>M8-M61</s:f>
        <s:v>37600.0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4">
        <s:f>0</s:f>
        <s:v/>
      </s:c>
      <s:c r="D63" s="194">
        <s:f>IF(D8=0,0,D62/D8)</s:f>
        <s:v/>
      </s:c>
      <s:c r="E63" s="194">
        <s:f>IF(E8=0,0,E62/E8)</s:f>
        <s:v/>
      </s:c>
      <s:c r="F63" s="194">
        <s:f>IF(F8=0,0,F62/F8)</s:f>
        <s:v/>
      </s:c>
      <s:c r="G63" s="194">
        <s:f>IF(G8=0,0,G62/G8)</s:f>
        <s:v/>
      </s:c>
      <s:c r="H63" s="194">
        <s:f>IF(H8=0,0,H62/H8)</s:f>
        <s:v/>
      </s:c>
      <s:c r="I63" s="194">
        <s:f>IF(I8=0,0,I62/I8)</s:f>
        <s:v/>
      </s:c>
      <s:c r="J63" s="194">
        <s:f>IF(J8=0,0,J62/J8)</s:f>
        <s:v/>
      </s:c>
      <s:c r="K63" s="194">
        <s:f>IF(K8=0,0,K62/K8)</s:f>
        <s:v/>
      </s:c>
      <s:c r="L63" s="194">
        <s:f>IF(L8=0,0,L62/L8)</s:f>
        <s:v/>
      </s:c>
      <s:c r="M63" s="194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89">
        <s:f>('04_Mode_Params'!C5+'02_Inputs'!$D$5*('04_Mode_Params'!C17-'04_Mode_Params'!C7))/'02_Inputs'!$D$5</s:f>
        <s:v/>
      </s:c>
      <s:c r="C5" s="189">
        <s:f>'04_Mode_Params'!C5/(IF('02_Inputs'!$D$13=0,'02_Inputs'!$D$5,(1-(1+'02_Inputs'!$D$13)^-'02_Inputs'!$D$5)/'02_Inputs'!$D$13))+'04_Mode_Params'!C17-'04_Mode_Params'!C7</s:f>
        <s:v/>
      </s:c>
      <s:c r="D5" s="189">
        <s:f>'04_Mode_Params'!C6</s:f>
        <s:v/>
      </s:c>
      <s:c r="E5" s="189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89">
        <s:f>('04_Mode_Params'!D5+'02_Inputs'!$D$5*('04_Mode_Params'!D17-'04_Mode_Params'!D7))/'02_Inputs'!$D$5</s:f>
        <s:v/>
      </s:c>
      <s:c r="C6" s="189">
        <s:f>'04_Mode_Params'!D5/(IF('02_Inputs'!$D$13=0,'02_Inputs'!$D$5,(1-(1+'02_Inputs'!$D$13)^-'02_Inputs'!$D$5)/'02_Inputs'!$D$13))+'04_Mode_Params'!D17-'04_Mode_Params'!D7</s:f>
        <s:v/>
      </s:c>
      <s:c r="D6" s="189">
        <s:f>'04_Mode_Params'!D6</s:f>
        <s:v/>
      </s:c>
      <s:c r="E6" s="189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198">
        <s:f>((800000+'04_Mode_Params'!$C$7-'04_Mode_Params'!$C$17)*'02_Inputs'!$D$5-'04_Mode_Params'!$C$5)/'04_Mode_Params'!$C$5</s:f>
        <s:v/>
      </s:c>
      <s:c r="C10" s="198">
        <s:f>((900000+'04_Mode_Params'!$C$7-'04_Mode_Params'!$C$17)*'02_Inputs'!$D$5-'04_Mode_Params'!$C$5)/'04_Mode_Params'!$C$5</s:f>
        <s:v/>
      </s:c>
      <s:c r="D10" s="198">
        <s:f>((1000000+'04_Mode_Params'!$C$7-'04_Mode_Params'!$C$17)*'02_Inputs'!$D$5-'04_Mode_Params'!$C$5)/'04_Mode_Params'!$C$5</s:f>
        <s:v/>
      </s:c>
      <s:c r="E10" s="198">
        <s:f>((1100000+'04_Mode_Params'!$C$7-'04_Mode_Params'!$C$17)*'02_Inputs'!$D$5-'04_Mode_Params'!$C$5)/'04_Mode_Params'!$C$5</s:f>
        <s:v/>
      </s:c>
      <s:c r="F10" s="198">
        <s:f>((1200000+'04_Mode_Params'!$C$7-'04_Mode_Params'!$C$17)*'02_Inputs'!$D$5-'04_Mode_Params'!$C$5)/'04_Mode_Params'!$C$5</s:f>
        <s:v/>
      </s:c>
      <s:c r="G10" s="198">
        <s:f>((1400000+'04_Mode_Params'!$C$7-'04_Mode_Params'!$C$17)*'02_Inputs'!$D$5-'04_Mode_Params'!$C$5)/'04_Mode_Params'!$C$5</s:f>
        <s:v/>
      </s:c>
      <s:c r="H10" s="198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198">
        <s:f>((800000+'04_Mode_Params'!$D$7-'04_Mode_Params'!$D$17)*'02_Inputs'!$D$5-'04_Mode_Params'!$D$5)/'04_Mode_Params'!$D$5</s:f>
        <s:v/>
      </s:c>
      <s:c r="C12" s="198">
        <s:f>((900000+'04_Mode_Params'!$D$7-'04_Mode_Params'!$D$17)*'02_Inputs'!$D$5-'04_Mode_Params'!$D$5)/'04_Mode_Params'!$D$5</s:f>
        <s:v/>
      </s:c>
      <s:c r="D12" s="198">
        <s:f>((1000000+'04_Mode_Params'!$D$7-'04_Mode_Params'!$D$17)*'02_Inputs'!$D$5-'04_Mode_Params'!$D$5)/'04_Mode_Params'!$D$5</s:f>
        <s:v/>
      </s:c>
      <s:c r="E12" s="198">
        <s:f>((1100000+'04_Mode_Params'!$D$7-'04_Mode_Params'!$D$17)*'02_Inputs'!$D$5-'04_Mode_Params'!$D$5)/'04_Mode_Params'!$D$5</s:f>
        <s:v/>
      </s:c>
      <s:c r="F12" s="198">
        <s:f>((1200000+'04_Mode_Params'!$D$7-'04_Mode_Params'!$D$17)*'02_Inputs'!$D$5-'04_Mode_Params'!$D$5)/'04_Mode_Params'!$D$5</s:f>
        <s:v/>
      </s:c>
      <s:c r="G12" s="198">
        <s:f>((1400000+'04_Mode_Params'!$D$7-'04_Mode_Params'!$D$17)*'02_Inputs'!$D$5-'04_Mode_Params'!$D$5)/'04_Mode_Params'!$D$5</s:f>
        <s:v/>
      </s:c>
      <s:c r="H12" s="198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198">
        <s:f>B17/'03_Baseline'!$D$15</s:f>
        <s:v/>
      </s:c>
      <s:c r="C18" s="198">
        <s:f>C17/'03_Baseline'!$D$15</s:f>
        <s:v/>
      </s:c>
      <s:c r="D18" s="198">
        <s:f>D17/'03_Baseline'!$D$15</s:f>
        <s:v/>
      </s:c>
      <s:c r="E18" s="198">
        <s:f>E17/'03_Baseline'!$D$15</s:f>
        <s:v/>
      </s:c>
      <s:c r="F18" s="198">
        <s:f>F17/'03_Baseline'!$D$15</s:f>
        <s:v/>
      </s:c>
      <s:c r="G18" s="198">
        <s:f>G17/'03_Baseline'!$D$15</s:f>
        <s:v/>
      </s:c>
      <s:c r="H18" s="198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-887600.0</s:v>
      </s:c>
      <s:c r="C19" s="170">
        <s:f>'03_Baseline'!$D$15-('03_Baseline'!$D$12*(1-0.45)*(1-'04_Mode_Params'!$D$10)+'04_Mode_Params'!$D$6+'02_Inputs'!$D$17)</s:f>
        <s:v>-784800.0</s:v>
      </s:c>
      <s:c r="D19" s="170">
        <s:f>'03_Baseline'!$D$15-('03_Baseline'!$D$12*(1-0.5)*(1-'04_Mode_Params'!$D$10)+'04_Mode_Params'!$D$6+'02_Inputs'!$D$17)</s:f>
        <s:v>-682000.0</s:v>
      </s:c>
      <s:c r="E19" s="170">
        <s:f>'03_Baseline'!$D$15-('03_Baseline'!$D$12*(1-0.55)*(1-'04_Mode_Params'!$D$10)+'04_Mode_Params'!$D$6+'02_Inputs'!$D$17)</s:f>
        <s:v>-579200.0</s:v>
      </s:c>
      <s:c r="F19" s="170">
        <s:f>'03_Baseline'!$D$15-('03_Baseline'!$D$12*(1-0.6)*(1-'04_Mode_Params'!$D$10)+'04_Mode_Params'!$D$6+'02_Inputs'!$D$17)</s:f>
        <s:v>-476400.0</s:v>
      </s:c>
      <s:c r="G19" s="170">
        <s:f>'03_Baseline'!$D$15-('03_Baseline'!$D$12*(1-0.65)*(1-'04_Mode_Params'!$D$10)+'04_Mode_Params'!$D$6+'02_Inputs'!$D$17)</s:f>
        <s:v>-373600.0</s:v>
      </s:c>
      <s:c r="H19" s="170">
        <s:f>'03_Baseline'!$D$15-('03_Baseline'!$D$12*(1-0.7)*(1-'04_Mode_Params'!$D$10)+'04_Mode_Params'!$D$6+'02_Inputs'!$D$17)</s:f>
        <s:v>-270800.0</s:v>
      </s:c>
    </s:row>
    <s:row r="20">
      <s:c r="A20" s="130" t="inlineStr">
        <s:is>
          <s:t>LaaS/AI订阅 业主节省率</s:t>
        </s:is>
      </s:c>
      <s:c r="B20" s="198">
        <s:f>B19/'03_Baseline'!$D$15</s:f>
        <s:v/>
      </s:c>
      <s:c r="C20" s="198">
        <s:f>C19/'03_Baseline'!$D$15</s:f>
        <s:v/>
      </s:c>
      <s:c r="D20" s="198">
        <s:f>D19/'03_Baseline'!$D$15</s:f>
        <s:v/>
      </s:c>
      <s:c r="E20" s="198">
        <s:f>E19/'03_Baseline'!$D$15</s:f>
        <s:v/>
      </s:c>
      <s:c r="F20" s="198">
        <s:f>F19/'03_Baseline'!$D$15</s:f>
        <s:v/>
      </s:c>
      <s:c r="G20" s="198">
        <s:f>G19/'03_Baseline'!$D$15</s:f>
        <s:v/>
      </s:c>
      <s:c r="H20" s="198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2026-04-25T15:25:02Z</dcterms:created>
  <dcterms:modified xsi:type="dcterms:W3CDTF">2026-04-25T15:25:02Z</dcterms:modified>
</cp:coreProperties>
</file>