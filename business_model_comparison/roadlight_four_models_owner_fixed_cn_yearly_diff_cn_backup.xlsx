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82cabf051a4e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假设" sheetId="1" r:id="R3de9875a28884447"/>
    <x:sheet xmlns:r="http://schemas.openxmlformats.org/officeDocument/2006/relationships" name="融资摊还" sheetId="2" r:id="Rfd51508ba3794784"/>
    <x:sheet xmlns:r="http://schemas.openxmlformats.org/officeDocument/2006/relationships" name="汇总对比" sheetId="3" r:id="Rc20d0a432d2b4952"/>
    <x:sheet xmlns:r="http://schemas.openxmlformats.org/officeDocument/2006/relationships" name="EMC模式" sheetId="4" r:id="Rce0bd275dbfe4ab3"/>
    <x:sheet xmlns:r="http://schemas.openxmlformats.org/officeDocument/2006/relationships" name="能源托管模式" sheetId="5" r:id="Re22b4711d8234c54"/>
    <x:sheet xmlns:r="http://schemas.openxmlformats.org/officeDocument/2006/relationships" name="LaaS模式" sheetId="6" r:id="Rab1a22c5b7b94726"/>
    <x:sheet xmlns:r="http://schemas.openxmlformats.org/officeDocument/2006/relationships" name="租赁模式" sheetId="7" r:id="R4f7b624c5b5f484b"/>
    <x:sheet xmlns:r="http://schemas.openxmlformats.org/officeDocument/2006/relationships" name="来源" sheetId="8" r:id="Rfcab49fce8b2419f"/>
    <x:sheet xmlns:r="http://schemas.openxmlformats.org/officeDocument/2006/relationships" name="逐年利润对比" sheetId="9" r:id="R4331ef51dda94ff4"/>
    <x:sheet xmlns:r="http://schemas.openxmlformats.org/officeDocument/2006/relationships" name="年度差异来源" sheetId="10" r:id="R063517e0185941e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[Red]-#,##0"/>
    <x:numFmt numFmtId="201" formatCode="0.0%"/>
    <x:numFmt numFmtId="202" formatCode="#,##0"/>
    <x:numFmt numFmtId="203" formatCode="0"/>
  </x:numFmts>
  <x:fonts count="8">
    <x:font>
      <x:sz val="11"/>
      <x:name val="Carlito"/>
    </x:font>
    <x:font>
      <x:b/>
      <x:sz val="16"/>
      <x:color theme="0"/>
      <x:name val="Carlito"/>
    </x:font>
    <x:font>
      <x:i/>
      <x:sz val="10"/>
      <x:color rgb="555555"/>
      <x:name val="Carlito"/>
    </x:font>
    <x:font>
      <x:b/>
      <x:sz val="11"/>
      <x:color rgb="1F1F1F"/>
      <x:name val="Carlito"/>
    </x:font>
    <x:font>
      <x:b/>
      <x:sz val="15"/>
      <x:color theme="1"/>
      <x:name val="Carlito"/>
    </x:font>
    <x:font>
      <x:b/>
      <x:sz val="12"/>
      <x:name val="Carlito"/>
    </x:font>
    <x:font>
      <x:b/>
      <x:sz val="11"/>
      <x:color theme="0"/>
      <x:name val="Carlito"/>
    </x:font>
    <x:font>
      <x:b/>
      <x:sz val="15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rgb="D9EAF7"/>
      </x:patternFill>
    </x:fill>
    <x:fill>
      <x:patternFill patternType="solid">
        <x:fgColor theme="4"/>
      </x:patternFill>
    </x:fill>
    <x:fill>
      <x:patternFill patternType="solid">
        <x:fgColor theme="6"/>
      </x:patternFill>
    </x:fill>
    <x:fill>
      <x:patternFill patternType="solid">
        <x:fgColor theme="5"/>
      </x:patternFill>
    </x:fill>
    <x:fill>
      <x:patternFill patternType="solid">
        <x:fgColor theme="7"/>
      </x:patternFill>
    </x:fill>
  </x:fills>
  <x:borders count="2">
    <x:border/>
    <x:border/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1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3" fillId="3" borderId="1" xfId="0" applyNumberFormat="1" applyFont="1" applyFill="1" applyBorder="1" applyAlignment="1">
      <x:alignment horizontal="center"/>
    </x:xf>
    <x:xf numFmtId="0" fontId="3" fillId="3" borderId="0" xfId="0" applyNumberFormat="1" applyFont="1" applyFill="1" applyBorder="1" applyAlignment="1">
      <x:alignment horizontal="center"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0" fontId="3" fillId="3" borderId="0" xfId="0" applyNumberFormat="1" applyFont="1" applyFill="1" applyBorder="1" applyAlignment="1">
      <x:alignment horizontal="center" vertical="center"/>
    </x:xf>
    <x:xf numFmtId="200" fontId="3" fillId="3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 applyAlignment="1">
      <x:alignment horizontal="right"/>
    </x:xf>
    <x:xf numFmtId="200" fontId="0" fillId="0" borderId="1" xfId="0" applyNumberFormat="1" applyFont="1" applyFill="1" applyBorder="1" applyAlignment="1">
      <x:alignment horizontal="right"/>
    </x:xf>
    <x:xf numFmtId="0" fontId="0" fillId="0" borderId="0" xfId="0" applyNumberFormat="1" applyFont="1" applyFill="1" applyBorder="1"/>
    <x:xf numFmtId="202" fontId="3" fillId="3" borderId="0" xfId="0" applyNumberFormat="1" applyFont="1" applyFill="1" applyBorder="1" applyAlignment="1">
      <x:alignment horizontal="center" vertical="center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horizontal="right"/>
    </x:xf>
    <x:xf numFmtId="0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0" xfId="0" applyNumberFormat="1" applyFont="1" applyFill="1" applyBorder="1" applyAlignment="1">
      <x:alignment wrapText="1"/>
    </x:xf>
    <x:xf numFmtId="202" fontId="6" fillId="5" borderId="0" xfId="0" applyNumberFormat="1" applyFont="1" applyFill="1" applyBorder="1"/>
    <x:xf numFmtId="0" fontId="7" fillId="0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166534"/>
      </x:font>
      <x:fill>
        <x:patternFill patternType="solid">
          <x:bgColor rgb="DCFCE7"/>
        </x:patternFill>
      </x:fill>
    </x:dxf>
    <x:dxf>
      <x:font>
        <x:color rgb="991B1B"/>
      </x:font>
      <x:fill>
        <x:patternFill patternType="solid">
          <x:bgColor rgb="FEE2E2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color rgb="991B1B"/>
      </x:font>
      <x:fill>
        <x:patternFill patternType="solid">
          <x:bgColor rgb="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3269c1b1bad4af8" /><Relationship Type="http://schemas.openxmlformats.org/officeDocument/2006/relationships/theme" Target="/xl/theme/theme1.xml" Id="Rcff4028b850b412b" /><Relationship Type="http://schemas.openxmlformats.org/officeDocument/2006/relationships/sharedStrings" Target="/xl/sharedStrings.xml" Id="R6f551ec17e5f4905" /><Relationship Type="http://schemas.openxmlformats.org/officeDocument/2006/relationships/worksheet" Target="/xl/worksheets/sheet1.xml" Id="R3de9875a28884447" /><Relationship Type="http://schemas.openxmlformats.org/officeDocument/2006/relationships/worksheet" Target="/xl/worksheets/sheet2.xml" Id="Rfd51508ba3794784" /><Relationship Type="http://schemas.openxmlformats.org/officeDocument/2006/relationships/worksheet" Target="/xl/worksheets/sheet3.xml" Id="Rc20d0a432d2b4952" /><Relationship Type="http://schemas.openxmlformats.org/officeDocument/2006/relationships/worksheet" Target="/xl/worksheets/sheet4.xml" Id="Rce0bd275dbfe4ab3" /><Relationship Type="http://schemas.openxmlformats.org/officeDocument/2006/relationships/worksheet" Target="/xl/worksheets/sheet5.xml" Id="Re22b4711d8234c54" /><Relationship Type="http://schemas.openxmlformats.org/officeDocument/2006/relationships/worksheet" Target="/xl/worksheets/sheet6.xml" Id="Rab1a22c5b7b94726" /><Relationship Type="http://schemas.openxmlformats.org/officeDocument/2006/relationships/worksheet" Target="/xl/worksheets/sheet7.xml" Id="R4f7b624c5b5f484b" /><Relationship Type="http://schemas.openxmlformats.org/officeDocument/2006/relationships/worksheet" Target="/xl/worksheets/sheet8.xml" Id="Rfcab49fce8b2419f" /><Relationship Type="http://schemas.openxmlformats.org/officeDocument/2006/relationships/worksheet" Target="/xl/worksheets/sheet9.xml" Id="R4331ef51dda94ff4" /><Relationship Type="http://schemas.openxmlformats.org/officeDocument/2006/relationships/worksheet" Target="/xl/worksheets/sheet10.xml" Id="R063517e0185941e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24beaaabdb141cb" /><Relationship Type="http://schemas.openxmlformats.org/officeDocument/2006/relationships/chart" Target="/xl/drawings/charts/chart2.xml" Id="Rac41319a9ea940e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甲方 vs 核心服务方：10年净收益</a:t>
            </a:r>
          </a:p>
        </c:rich>
      </c:tx>
      <c:overlay val="0"/>
    </c:title>
    <c:autoTitleDeleted val="0"/>
    <c:view3D/>
    <c:plotArea>
      <c:layout/>
      <c:barChart>
        <c:barDir val="col"/>
        <c:varyColors val="0"/>
        <c:ser>
          <c:idx val="0"/>
          <c:order val="0"/>
          <c:tx>
            <c:v>EMC</c:v>
          </c:tx>
          <c:cat>
            <c:strRef>
              <c:f>'Summary'!$H$6:$H$7</c:f>
              <c:strCache>
                <c:ptCount val="0"/>
              </c:strCache>
            </c:strRef>
          </c:cat>
          <c:val>
            <c:numRef>
              <c:f>'Summary'!$I$6:$I$7</c:f>
              <c:numCache>
                <c:formatCode>#,##0;[Red]-#,##0</c:formatCode>
                <c:ptCount val="0"/>
              </c:numCache>
            </c:numRef>
          </c:val>
        </c:ser>
        <c:ser>
          <c:idx val="1"/>
          <c:order val="1"/>
          <c:tx>
            <c:v>Managed Energy</c:v>
          </c:tx>
          <c:cat>
            <c:strRef>
              <c:f>'Summary'!$H$6:$H$7</c:f>
              <c:strCache>
                <c:ptCount val="0"/>
              </c:strCache>
            </c:strRef>
          </c:cat>
          <c:val>
            <c:numRef>
              <c:f>'Summary'!$J$6:$J$7</c:f>
              <c:numCache>
                <c:formatCode>#,##0;[Red]-#,##0</c:formatCode>
                <c:ptCount val="0"/>
              </c:numCache>
            </c:numRef>
          </c:val>
        </c:ser>
        <c:ser>
          <c:idx val="2"/>
          <c:order val="2"/>
          <c:tx>
            <c:v>LaaS</c:v>
          </c:tx>
          <c:cat>
            <c:strRef>
              <c:f>'Summary'!$H$6:$H$7</c:f>
              <c:strCache>
                <c:ptCount val="0"/>
              </c:strCache>
            </c:strRef>
          </c:cat>
          <c:val>
            <c:numRef>
              <c:f>'Summary'!$K$6:$K$7</c:f>
              <c:numCache>
                <c:formatCode>#,##0;[Red]-#,##0</c:formatCode>
                <c:ptCount val="0"/>
              </c:numCache>
            </c:numRef>
          </c:val>
        </c:ser>
        <c:ser>
          <c:idx val="3"/>
          <c:order val="3"/>
          <c:tx>
            <c:v>Leasing</c:v>
          </c:tx>
          <c:cat>
            <c:strRef>
              <c:f>'Summary'!$H$6:$H$7</c:f>
              <c:strCache>
                <c:ptCount val="0"/>
              </c:strCache>
            </c:strRef>
          </c:cat>
          <c:val>
            <c:numRef>
              <c:f>'Summary'!$L$6:$L$7</c:f>
              <c:numCache>
                <c:formatCode>#,##0;[Red]-#,##0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主要参与方收益对比</a:t>
            </a:r>
          </a:p>
        </c:rich>
      </c:tx>
      <c:overlay val="0"/>
    </c:title>
    <c:autoTitleDeleted val="0"/>
    <c:view3D/>
    <c:plotArea>
      <c:layout/>
      <c:barChart>
        <c:barDir val="col"/>
        <c:grouping val="clustered"/>
        <c:varyColors val="0"/>
        <c:ser>
          <c:idx val="0"/>
          <c:order val="0"/>
          <c:tx>
            <c:v>EMC</c:v>
          </c:tx>
          <c:cat>
            <c:strRef>
              <c:f>'Summary'!$H$6:$H$8</c:f>
              <c:strCache>
                <c:ptCount val="0"/>
              </c:strCache>
            </c:strRef>
          </c:cat>
          <c:val>
            <c:numRef>
              <c:f>'Summary'!$I$6:$I$8</c:f>
              <c:numCache>
                <c:formatCode>#,##0;[Red]-#,##0</c:formatCode>
                <c:ptCount val="0"/>
              </c:numCache>
            </c:numRef>
          </c:val>
        </c:ser>
        <c:ser>
          <c:idx val="1"/>
          <c:order val="1"/>
          <c:tx>
            <c:v>Managed Energy</c:v>
          </c:tx>
          <c:cat>
            <c:strRef>
              <c:f>'Summary'!$H$6:$H$8</c:f>
              <c:strCache>
                <c:ptCount val="0"/>
              </c:strCache>
            </c:strRef>
          </c:cat>
          <c:val>
            <c:numRef>
              <c:f>'Summary'!$J$6:$J$8</c:f>
              <c:numCache>
                <c:formatCode>#,##0;[Red]-#,##0</c:formatCode>
                <c:ptCount val="0"/>
              </c:numCache>
            </c:numRef>
          </c:val>
        </c:ser>
        <c:ser>
          <c:idx val="2"/>
          <c:order val="2"/>
          <c:tx>
            <c:v>LaaS</c:v>
          </c:tx>
          <c:cat>
            <c:strRef>
              <c:f>'Summary'!$H$6:$H$8</c:f>
              <c:strCache>
                <c:ptCount val="0"/>
              </c:strCache>
            </c:strRef>
          </c:cat>
          <c:val>
            <c:numRef>
              <c:f>'Summary'!$K$6:$K$8</c:f>
              <c:numCache>
                <c:formatCode>#,##0;[Red]-#,##0</c:formatCode>
                <c:ptCount val="0"/>
              </c:numCache>
            </c:numRef>
          </c:val>
        </c:ser>
        <c:ser>
          <c:idx val="3"/>
          <c:order val="3"/>
          <c:tx>
            <c:v>Leasing</c:v>
          </c:tx>
          <c:cat>
            <c:strRef>
              <c:f>'Summary'!$H$6:$H$8</c:f>
              <c:strCache>
                <c:ptCount val="0"/>
              </c:strCache>
            </c:strRef>
          </c:cat>
          <c:val>
            <c:numRef>
              <c:f>'Summary'!$L$6:$L$8</c:f>
              <c:numCache>
                <c:formatCode>#,##0;[Red]-#,##0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14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24beaaabdb141cb"/>
        </a:graphicData>
      </a:graphic>
    </xdr:graphicFrame>
    <xdr:clientData/>
  </xdr:twoCellAnchor>
  <xdr:twoCellAnchor>
    <xdr:from>
      <xdr:col>14</xdr:col>
      <xdr:colOff>0</xdr:colOff>
      <xdr:row>9</xdr:row>
      <xdr:rowOff>0</xdr:rowOff>
    </xdr:from>
    <xdr:to>
      <xdr:col>22</xdr:col>
      <xdr:colOff>0</xdr:colOff>
      <xdr:row>26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41319a9ea940ec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almBlue">
  <a:themeElements>
    <a:clrScheme name="CalmBlue">
      <a:dk1>
        <a:srgbClr val="1F1F1F"/>
      </a:dk1>
      <a:lt1>
        <a:srgbClr val="FFFFFF"/>
      </a:lt1>
      <a:dk2>
        <a:srgbClr val="0E2841"/>
      </a:dk2>
      <a:lt2>
        <a:srgbClr val="F5F7FA"/>
      </a:lt2>
      <a:accent1>
        <a:srgbClr val="1F4E79"/>
      </a:accent1>
      <a:accent2>
        <a:srgbClr val="5B9BD5"/>
      </a:accent2>
      <a:accent3>
        <a:srgbClr val="70AD47"/>
      </a:accent3>
      <a:accent4>
        <a:srgbClr val="ED7D31"/>
      </a:accent4>
      <a:accent5>
        <a:srgbClr val="A5A5A5"/>
      </a:accent5>
      <a:accent6>
        <a:srgbClr val="FFC000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almBlu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999b3cd41afc47d1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20.860000610351562" hidden="0" customWidth="1"/>
    <x:col min="10" max="10" width="14.569999694824219" hidden="0" customWidth="1"/>
    <x:col min="3" max="3" width="85" hidden="0" customWidth="1"/>
  </x:cols>
  <x:sheetData>
    <x:row r="1" ht="19.53125" hidden="0" customHeight="1">
      <x:c r="A1" s="8" t="str">
        <x:v>路灯项目四种模式对照实验（业主年投入恒定）</x:v>
      </x:c>
      <x:c r="B1" s="8" t="str">
        <x:v>路灯项目四种模式对照实验（同一组数据）</x:v>
      </x:c>
      <x:c r="C1" s="8" t="str">
        <x:v>路灯项目四种模式对照实验（同一组数据）</x:v>
      </x:c>
      <x:c r="D1" s="8" t="str">
        <x:v>路灯项目四种模式对照实验（同一组数据）</x:v>
      </x:c>
      <x:c r="E1" s="8" t="str">
        <x:v>路灯项目四种模式对照实验（同一组数据）</x:v>
      </x:c>
      <x:c r="F1" s="8" t="str">
        <x:v>路灯项目四种模式对照实验（同一组数据）</x:v>
      </x:c>
      <x:c r="G1" s="8" t="str">
        <x:v>路灯项目四种模式对照实验（同一组数据）</x:v>
      </x:c>
      <x:c r="H1" s="8" t="str">
        <x:v>路灯项目四种模式对照实验（同一组数据）</x:v>
      </x:c>
    </x:row>
    <x:row r="2" ht="19.53125" hidden="0" customHeight="1">
      <x:c r="A2" s="8" t="str">
        <x:v>路灯项目四种模式对照实验（同一组数据）</x:v>
      </x:c>
      <x:c r="B2" s="8" t="str">
        <x:v>路灯项目四种模式对照实验（同一组数据）</x:v>
      </x:c>
      <x:c r="C2" s="8" t="str">
        <x:v>路灯项目四种模式对照实验（同一组数据）</x:v>
      </x:c>
      <x:c r="D2" s="8" t="str">
        <x:v>路灯项目四种模式对照实验（同一组数据）</x:v>
      </x:c>
      <x:c r="E2" s="8" t="str">
        <x:v>路灯项目四种模式对照实验（同一组数据）</x:v>
      </x:c>
      <x:c r="F2" s="8" t="str">
        <x:v>路灯项目四种模式对照实验（同一组数据）</x:v>
      </x:c>
      <x:c r="G2" s="8" t="str">
        <x:v>路灯项目四种模式对照实验（同一组数据）</x:v>
      </x:c>
      <x:c r="H2" s="8" t="str">
        <x:v>路灯项目四种模式对照实验（同一组数据）</x:v>
      </x:c>
    </x:row>
    <x:row r="3" ht="15" hidden="0" customHeight="1">
      <x:c r="A3" s="12" t="str">
        <x:v>口径：10年期；同一项目规模、同一节能效果、同一CAPEX与融资比例，并将“业主年总投入”固定为同一数值，仅比较不同合同结构如何分配收益。</x:v>
      </x:c>
      <x:c r="B3" s="12" t="str">
        <x:v>口径：10年期；同一项目规模、同一节能效果、同一CAPEX与融资比例，只改变合同结构与支付方式。</x:v>
      </x:c>
      <x:c r="C3" s="12" t="str">
        <x:v>口径：10年期；同一项目规模、同一节能效果、同一CAPEX与融资比例，只改变合同结构与支付方式。</x:v>
      </x:c>
      <x:c r="D3" s="12" t="str">
        <x:v>口径：10年期；同一项目规模、同一节能效果、同一CAPEX与融资比例，只改变合同结构与支付方式。</x:v>
      </x:c>
      <x:c r="E3" s="12" t="str">
        <x:v>口径：10年期；同一项目规模、同一节能效果、同一CAPEX与融资比例，只改变合同结构与支付方式。</x:v>
      </x:c>
      <x:c r="F3" s="12" t="str">
        <x:v>口径：10年期；同一项目规模、同一节能效果、同一CAPEX与融资比例，只改变合同结构与支付方式。</x:v>
      </x:c>
      <x:c r="G3" s="12" t="str">
        <x:v>口径：10年期；同一项目规模、同一节能效果、同一CAPEX与融资比例，只改变合同结构与支付方式。</x:v>
      </x:c>
      <x:c r="H3" s="12" t="str">
        <x:v>口径：10年期；同一项目规模、同一节能效果、同一CAPEX与融资比例，只改变合同结构与支付方式。</x:v>
      </x:c>
    </x:row>
    <x:row r="4"/>
    <x:row r="5" ht="15" hidden="0" customHeight="1">
      <x:c r="A5" s="33" t="str">
        <x:v>全局假设</x:v>
      </x:c>
      <x:c r="B5" s="33" t="str">
        <x:v>数值</x:v>
      </x:c>
      <x:c r="C5" s="34"/>
      <x:c r="D5" s="33" t="str">
        <x:v>模式</x:v>
      </x:c>
      <x:c r="E5" s="33" t="str">
        <x:v>业主年总投入（恒定）</x:v>
      </x:c>
      <x:c r="F5" s="33" t="str">
        <x:v>业主自付电费</x:v>
      </x:c>
      <x:c r="G5" s="33" t="str">
        <x:v>业主自付运维</x:v>
      </x:c>
      <x:c r="H5" s="33" t="str">
        <x:v>支付给核心服务方的费用</x:v>
      </x:c>
      <x:c r="I5" s="20" t="str">
        <x:v>核心服务方第10年残值</x:v>
      </x:c>
      <x:c r="J5" s="20" t="str">
        <x:v>甲方第10年终值</x:v>
      </x:c>
    </x:row>
    <x:row r="6" ht="15" hidden="0" customHeight="1">
      <x:c r="A6" s="34" t="str">
        <x:v>分析期（年）</x:v>
      </x:c>
      <x:c r="B6" s="34" t="n">
        <x:v>10</x:v>
      </x:c>
      <x:c r="C6" s="34"/>
      <x:c r="D6" s="34" t="str">
        <x:v>EMC</x:v>
      </x:c>
      <x:c r="E6" s="34" t="n">
        <x:f>$B$16</x:f>
        <x:v>13100000</x:v>
      </x:c>
      <x:c r="F6" s="34" t="n">
        <x:f>$B$11</x:f>
        <x:v>7200000</x:v>
      </x:c>
      <x:c r="G6" s="34" t="n">
        <x:f>$B$12</x:f>
        <x:v>2400000</x:v>
      </x:c>
      <x:c r="H6" s="34" t="n">
        <x:f>E6-F6-G6</x:f>
        <x:v>3500000</x:v>
      </x:c>
      <x:c r="I6" s="24" t="n">
        <x:v>0</x:v>
      </x:c>
      <x:c r="J6" s="24" t="n">
        <x:f>B21</x:f>
        <x:v>0.225</x:v>
      </x:c>
    </x:row>
    <x:row r="7" ht="15" hidden="0" customHeight="1">
      <x:c r="A7" s="34" t="str">
        <x:v>资产经济寿命（年）</x:v>
      </x:c>
      <x:c r="B7" s="34" t="n">
        <x:v>12</x:v>
      </x:c>
      <x:c r="C7" s="34"/>
      <x:c r="D7" s="34" t="str">
        <x:v>能源托管</x:v>
      </x:c>
      <x:c r="E7" s="34" t="n">
        <x:f>$B$16</x:f>
        <x:v>13100000</x:v>
      </x:c>
      <x:c r="F7" s="34" t="n">
        <x:f>0</x:f>
        <x:v>0</x:v>
      </x:c>
      <x:c r="G7" s="34" t="n">
        <x:f>0</x:f>
        <x:v>0</x:v>
      </x:c>
      <x:c r="H7" s="34" t="n">
        <x:f>E7-F7-G7</x:f>
        <x:v>13100000</x:v>
      </x:c>
      <x:c r="I7" s="24" t="n">
        <x:v>0</x:v>
      </x:c>
      <x:c r="J7" s="24" t="n">
        <x:f>B21</x:f>
        <x:v>0.225</x:v>
      </x:c>
    </x:row>
    <x:row r="8" ht="15" hidden="0" customHeight="1">
      <x:c r="A8" s="34" t="str">
        <x:v>改造CAPEX</x:v>
      </x:c>
      <x:c r="B8" s="34" t="n">
        <x:v>15000000</x:v>
      </x:c>
      <x:c r="C8" s="34"/>
      <x:c r="D8" s="34" t="str">
        <x:v>LaaS</x:v>
      </x:c>
      <x:c r="E8" s="34" t="n">
        <x:f>$B$16</x:f>
        <x:v>13100000</x:v>
      </x:c>
      <x:c r="F8" s="34" t="n">
        <x:f>$B$11</x:f>
        <x:v>7200000</x:v>
      </x:c>
      <x:c r="G8" s="34" t="n">
        <x:f>0</x:f>
        <x:v>0</x:v>
      </x:c>
      <x:c r="H8" s="34" t="n">
        <x:f>E8-F8-G8</x:f>
        <x:v>5900000</x:v>
      </x:c>
      <x:c r="I8" s="24" t="n">
        <x:f>B21</x:f>
        <x:v>0.225</x:v>
      </x:c>
      <x:c r="J8" s="24" t="n">
        <x:v>0</x:v>
      </x:c>
    </x:row>
    <x:row r="9" ht="15" hidden="0" customHeight="1">
      <x:c r="A9" s="34" t="str">
        <x:v>改造前年电费</x:v>
      </x:c>
      <x:c r="B9" s="34" t="n">
        <x:v>12000000</x:v>
      </x:c>
      <x:c r="C9" s="34"/>
      <x:c r="D9" s="34" t="str">
        <x:v>租赁</x:v>
      </x:c>
      <x:c r="E9" s="34" t="n">
        <x:f>$B$16</x:f>
        <x:v>13100000</x:v>
      </x:c>
      <x:c r="F9" s="34" t="n">
        <x:f>$B$11</x:f>
        <x:v>7200000</x:v>
      </x:c>
      <x:c r="G9" s="34" t="n">
        <x:f>$B$12</x:f>
        <x:v>2400000</x:v>
      </x:c>
      <x:c r="H9" s="34" t="n">
        <x:f>E9-F9-G9</x:f>
        <x:v>3500000</x:v>
      </x:c>
      <x:c r="I9" s="24" t="n">
        <x:v>0</x:v>
      </x:c>
      <x:c r="J9" s="24" t="n">
        <x:f>B21</x:f>
        <x:v>0.225</x:v>
      </x:c>
    </x:row>
    <x:row r="10" ht="15" hidden="0" customHeight="1">
      <x:c r="A10" s="34" t="str">
        <x:v>改造前年运维费</x:v>
      </x:c>
      <x:c r="B10" s="34" t="n">
        <x:v>3000000</x:v>
      </x:c>
      <x:c r="C10" s="34"/>
      <x:c r="D10" s="34"/>
      <x:c r="E10" s="34"/>
      <x:c r="F10" s="34"/>
      <x:c r="G10" s="34"/>
      <x:c r="H10" s="34"/>
    </x:row>
    <x:row r="11" ht="15" hidden="0" customHeight="1">
      <x:c r="A11" s="34" t="str">
        <x:v>改造后年电费</x:v>
      </x:c>
      <x:c r="B11" s="34" t="n">
        <x:v>7200000</x:v>
      </x:c>
      <x:c r="C11" s="34"/>
      <x:c r="D11" s="34"/>
      <x:c r="E11" s="34"/>
      <x:c r="F11" s="34"/>
      <x:c r="G11" s="34"/>
      <x:c r="H11" s="34"/>
    </x:row>
    <x:row r="12" ht="15" hidden="0" customHeight="1">
      <x:c r="A12" s="34" t="str">
        <x:v>改造后年运维费</x:v>
      </x:c>
      <x:c r="B12" s="34" t="n">
        <x:v>2400000</x:v>
      </x:c>
      <x:c r="C12" s="34"/>
      <x:c r="D12" s="36" t="str">
        <x:v>如何理解本工作簿</x:v>
      </x:c>
      <x:c r="E12" s="36"/>
      <x:c r="F12" s="36"/>
      <x:c r="G12" s="36"/>
      <x:c r="H12" s="36"/>
      <x:c r="I12" s="22" t="str"/>
      <x:c r="J12" s="22" t="str"/>
    </x:row>
    <x:row r="13" ht="15" hidden="0" customHeight="1">
      <x:c r="A13" s="34" t="str">
        <x:v>平台/软件年成本</x:v>
      </x:c>
      <x:c r="B13" s="34" t="n">
        <x:v>400000</x:v>
      </x:c>
      <x:c r="C13" s="34"/>
      <x:c r="D13" s="36" t="str">
        <x:v>业主年总投入恒定</x:v>
      </x:c>
      <x:c r="E13" s="36" t="str">
        <x:v>四种模式的“甲方实际流出”统一锁定为同一个年金额，默认值见B16，可直接改。</x:v>
      </x:c>
      <x:c r="F13" s="36"/>
      <x:c r="G13" s="36"/>
      <x:c r="H13" s="36"/>
      <x:c r="I13" s="22" t="str"/>
      <x:c r="J13" s="22" t="str"/>
    </x:row>
    <x:row r="14" ht="15" hidden="0" customHeight="1">
      <x:c r="A14" s="34" t="str">
        <x:v>EMC服务运营年成本</x:v>
      </x:c>
      <x:c r="B14" s="34" t="n">
        <x:v>700000</x:v>
      </x:c>
      <x:c r="C14" s="34"/>
      <x:c r="D14" s="36" t="str">
        <x:v>谁的利润会变化</x:v>
      </x:c>
      <x:c r="E14" s="36" t="str">
        <x:v>在同一业主支付额下，变化最大的是核心服务方净现金；甲方差异主要来自终值/资产归属。</x:v>
      </x:c>
      <x:c r="F14" s="36"/>
      <x:c r="G14" s="36"/>
      <x:c r="H14" s="36"/>
      <x:c r="I14" s="22" t="str"/>
      <x:c r="J14" s="22" t="str"/>
    </x:row>
    <x:row r="15" ht="15" hidden="0" customHeight="1">
      <x:c r="A15" s="34" t="str">
        <x:v>租赁服务管理年成本</x:v>
      </x:c>
      <x:c r="B15" s="34" t="n">
        <x:v>200000</x:v>
      </x:c>
      <x:c r="C15" s="34"/>
      <x:c r="D15" s="36" t="str">
        <x:v>何时会出现不可行</x:v>
      </x:c>
      <x:c r="E15" s="36" t="str">
        <x:v>如果B16过低，会导致某些模式下“支付给核心服务方的费用”为负数，说明该模式在该支付约束下不可成立。</x:v>
      </x:c>
      <x:c r="F15" s="36"/>
      <x:c r="G15" s="36"/>
      <x:c r="H15" s="36"/>
      <x:c r="I15" s="22" t="str"/>
      <x:c r="J15" s="22" t="str"/>
    </x:row>
    <x:row r="16" ht="15" hidden="0" customHeight="1">
      <x:c r="A16" s="34" t="str">
        <x:v>业主年总投入（恒定，可调）</x:v>
      </x:c>
      <x:c r="B16" s="34" t="n">
        <x:v>13100000</x:v>
      </x:c>
      <x:c r="C16" s="34"/>
      <x:c r="D16" s="34"/>
      <x:c r="E16" s="34"/>
      <x:c r="F16" s="34"/>
      <x:c r="G16" s="34"/>
      <x:c r="H16" s="34"/>
    </x:row>
    <x:row r="17" ht="15" hidden="0" customHeight="1">
      <x:c r="A17" s="34" t="str">
        <x:v>债务比例</x:v>
      </x:c>
      <x:c r="B17" s="26" t="n">
        <x:v>0.7</x:v>
      </x:c>
      <x:c r="C17" s="34"/>
      <x:c r="D17" s="34"/>
      <x:c r="E17" s="34"/>
      <x:c r="F17" s="34"/>
      <x:c r="G17" s="34"/>
      <x:c r="H17" s="34"/>
    </x:row>
    <x:row r="18" ht="15" hidden="0" customHeight="1">
      <x:c r="A18" s="34" t="str">
        <x:v>贷款利率</x:v>
      </x:c>
      <x:c r="B18" s="26" t="n">
        <x:v>0.06</x:v>
      </x:c>
      <x:c r="C18" s="34"/>
      <x:c r="D18" s="34"/>
      <x:c r="E18" s="34"/>
      <x:c r="F18" s="34"/>
      <x:c r="G18" s="34"/>
      <x:c r="H18" s="34"/>
    </x:row>
    <x:row r="19" ht="15" hidden="0" customHeight="1">
      <x:c r="A19" s="34" t="str">
        <x:v>资金方资金成本</x:v>
      </x:c>
      <x:c r="B19" s="26" t="n">
        <x:v>0.035</x:v>
      </x:c>
      <x:c r="C19" s="34"/>
      <x:c r="D19" s="34"/>
      <x:c r="E19" s="34"/>
      <x:c r="F19" s="34"/>
      <x:c r="G19" s="34"/>
      <x:c r="H19" s="34"/>
    </x:row>
    <x:row r="20" ht="15" hidden="0" customHeight="1">
      <x:c r="A20" s="34" t="str">
        <x:v>设备收入占CAPEX比例</x:v>
      </x:c>
      <x:c r="B20" s="26" t="n">
        <x:v>0.8</x:v>
      </x:c>
      <x:c r="C20" s="34"/>
      <x:c r="D20" s="34"/>
      <x:c r="E20" s="34"/>
      <x:c r="F20" s="34"/>
      <x:c r="G20" s="34"/>
      <x:c r="H20" s="34"/>
    </x:row>
    <x:row r="21" ht="15" hidden="0" customHeight="1">
      <x:c r="A21" s="34" t="str">
        <x:v>设备毛利率</x:v>
      </x:c>
      <x:c r="B21" s="26" t="n">
        <x:v>0.225</x:v>
      </x:c>
      <x:c r="C21" s="34"/>
      <x:c r="D21" s="34"/>
      <x:c r="E21" s="34"/>
      <x:c r="F21" s="34"/>
      <x:c r="G21" s="34"/>
      <x:c r="H21" s="34"/>
    </x:row>
    <x:row r="22" ht="15" hidden="0" customHeight="1">
      <x:c r="A22" s="34" t="str">
        <x:v>EPC收入占CAPEX比例</x:v>
      </x:c>
      <x:c r="B22" s="26" t="n">
        <x:v>0.2</x:v>
      </x:c>
      <x:c r="C22" s="34"/>
      <x:c r="D22" s="34"/>
      <x:c r="E22" s="34"/>
      <x:c r="F22" s="34"/>
      <x:c r="G22" s="34"/>
      <x:c r="H22" s="34"/>
    </x:row>
    <x:row r="23" ht="15" hidden="0" customHeight="1">
      <x:c r="A23" s="34" t="str">
        <x:v>EPC毛利率</x:v>
      </x:c>
      <x:c r="B23" s="26" t="n">
        <x:v>0.2</x:v>
      </x:c>
      <x:c r="C23" s="34"/>
      <x:c r="D23" s="34"/>
      <x:c r="E23" s="34"/>
      <x:c r="F23" s="34"/>
      <x:c r="G23" s="34"/>
      <x:c r="H23" s="34"/>
    </x:row>
    <x:row r="24" ht="15" hidden="0" customHeight="1">
      <x:c r="A24" s="34" t="str">
        <x:v>第10年终值（资产残值）</x:v>
      </x:c>
      <x:c r="B24" s="34" t="n">
        <x:v>2500000</x:v>
      </x:c>
      <x:c r="C24" s="34"/>
      <x:c r="D24" s="34"/>
      <x:c r="E24" s="34"/>
      <x:c r="F24" s="34"/>
      <x:c r="G24" s="34"/>
      <x:c r="H24" s="34"/>
    </x:row>
    <x:row r="25" ht="15" hidden="0" customHeight="1">
      <x:c r="A25" s="34" t="str">
        <x:v>债务金额</x:v>
      </x:c>
      <x:c r="B25" s="34" t="n">
        <x:f>B8*B17</x:f>
        <x:v>10500000</x:v>
      </x:c>
      <x:c r="C25" s="34"/>
      <x:c r="D25" s="34"/>
      <x:c r="E25" s="34"/>
      <x:c r="F25" s="34"/>
      <x:c r="G25" s="34"/>
      <x:c r="H25" s="34"/>
    </x:row>
    <x:row r="26" ht="15" hidden="0" customHeight="1">
      <x:c r="A26" s="34" t="str">
        <x:v>股权投入</x:v>
      </x:c>
      <x:c r="B26" s="34" t="n">
        <x:f>B8-B25</x:f>
        <x:v>4500000</x:v>
      </x:c>
      <x:c r="C26" s="34"/>
      <x:c r="D26" s="34"/>
      <x:c r="E26" s="34"/>
      <x:c r="F26" s="34"/>
      <x:c r="G26" s="34"/>
      <x:c r="H26" s="34"/>
    </x:row>
    <x:row r="27" ht="15" hidden="0" customHeight="1">
      <x:c r="A27" s="34" t="str">
        <x:v>年债务偿付额</x:v>
      </x:c>
      <x:c r="B27" s="34" t="n">
        <x:f>-PMT(B18,B6,B25)</x:f>
        <x:v>1426613.56131403</x:v>
      </x:c>
      <x:c r="C27" s="34"/>
      <x:c r="D27" s="34"/>
      <x:c r="E27" s="34"/>
      <x:c r="F27" s="34"/>
      <x:c r="G27" s="34"/>
      <x:c r="H27" s="34"/>
    </x:row>
    <x:row r="28" ht="15" hidden="0" customHeight="1">
      <x:c r="A28" s="34" t="str">
        <x:v>累计债务偿付额</x:v>
      </x:c>
      <x:c r="B28" s="34" t="n">
        <x:f>B27*B6</x:f>
        <x:v>14266135.6131403</x:v>
      </x:c>
      <x:c r="C28" s="34"/>
      <x:c r="D28" s="34"/>
      <x:c r="E28" s="34"/>
      <x:c r="F28" s="34"/>
      <x:c r="G28" s="34"/>
      <x:c r="H28" s="34"/>
    </x:row>
    <x:row r="29" ht="15" hidden="0" customHeight="1">
      <x:c r="A29" s="34" t="str">
        <x:v>甲方基线年总成本</x:v>
      </x:c>
      <x:c r="B29" s="34" t="n">
        <x:f>B9+B10</x:f>
        <x:v>15000000</x:v>
      </x:c>
      <x:c r="C29" s="34"/>
      <x:c r="D29" s="34"/>
      <x:c r="E29" s="34"/>
      <x:c r="F29" s="34"/>
      <x:c r="G29" s="34"/>
      <x:c r="H29" s="34"/>
    </x:row>
    <x:row r="30" ht="15" hidden="0" customHeight="1">
      <x:c r="A30" s="34" t="str">
        <x:v>甲方基线10年总成本</x:v>
      </x:c>
      <x:c r="B30" s="34" t="n">
        <x:f>B29*B6</x:f>
        <x:v>150000000</x:v>
      </x:c>
      <x:c r="C30" s="34"/>
      <x:c r="D30" s="34"/>
      <x:c r="E30" s="34"/>
      <x:c r="F30" s="34"/>
      <x:c r="G30" s="34"/>
      <x:c r="H30" s="34"/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19.53125" hidden="0" customHeight="1">
      <x:c r="A1" s="8" t="str">
        <x:v>统一融资假设下的贷款摊还表</x:v>
      </x:c>
      <x:c r="B1" s="8" t="str">
        <x:v>统一融资假设下的贷款摊还表</x:v>
      </x:c>
      <x:c r="C1" s="8" t="str">
        <x:v>统一融资假设下的贷款摊还表</x:v>
      </x:c>
      <x:c r="D1" s="8" t="str">
        <x:v>统一融资假设下的贷款摊还表</x:v>
      </x:c>
      <x:c r="E1" s="8" t="str">
        <x:v>统一融资假设下的贷款摊还表</x:v>
      </x:c>
      <x:c r="F1" s="8" t="str">
        <x:v>统一融资假设下的贷款摊还表</x:v>
      </x:c>
      <x:c r="G1" s="8" t="str">
        <x:v>统一融资假设下的贷款摊还表</x:v>
      </x:c>
      <x:c r="H1" s="8" t="str">
        <x:v>统一融资假设下的贷款摊还表</x:v>
      </x:c>
    </x:row>
    <x:row r="2" ht="19.53125" hidden="0" customHeight="1">
      <x:c r="A2" s="8" t="str">
        <x:v>统一融资假设下的贷款摊还表</x:v>
      </x:c>
      <x:c r="B2" s="8" t="str">
        <x:v>统一融资假设下的贷款摊还表</x:v>
      </x:c>
      <x:c r="C2" s="8" t="str">
        <x:v>统一融资假设下的贷款摊还表</x:v>
      </x:c>
      <x:c r="D2" s="8" t="str">
        <x:v>统一融资假设下的贷款摊还表</x:v>
      </x:c>
      <x:c r="E2" s="8" t="str">
        <x:v>统一融资假设下的贷款摊还表</x:v>
      </x:c>
      <x:c r="F2" s="8" t="str">
        <x:v>统一融资假设下的贷款摊还表</x:v>
      </x:c>
      <x:c r="G2" s="8" t="str">
        <x:v>统一融资假设下的贷款摊还表</x:v>
      </x:c>
      <x:c r="H2" s="8" t="str">
        <x:v>统一融资假设下的贷款摊还表</x:v>
      </x:c>
    </x:row>
    <x:row r="3" ht="15" hidden="0" customHeight="1">
      <x:c r="A3" s="12" t="str">
        <x:v>口径：四种模式统一采用相同的CAPEX、债务比例与利率；由于本次只固定业主支付额，因此融资侧结果保持一致。</x:v>
      </x:c>
      <x:c r="B3" s="12" t="str">
        <x:v>口径：四种模式统一采用相同的CAPEX、债务比例与利率，用于可比性。</x:v>
      </x:c>
      <x:c r="C3" s="12" t="str">
        <x:v>口径：四种模式统一采用相同的CAPEX、债务比例与利率，用于可比性。</x:v>
      </x:c>
      <x:c r="D3" s="12" t="str">
        <x:v>口径：四种模式统一采用相同的CAPEX、债务比例与利率，用于可比性。</x:v>
      </x:c>
      <x:c r="E3" s="12" t="str">
        <x:v>口径：四种模式统一采用相同的CAPEX、债务比例与利率，用于可比性。</x:v>
      </x:c>
      <x:c r="F3" s="12" t="str">
        <x:v>口径：四种模式统一采用相同的CAPEX、债务比例与利率，用于可比性。</x:v>
      </x:c>
      <x:c r="G3" s="12" t="str">
        <x:v>口径：四种模式统一采用相同的CAPEX、债务比例与利率，用于可比性。</x:v>
      </x:c>
      <x:c r="H3" s="12" t="str">
        <x:v>口径：四种模式统一采用相同的CAPEX、债务比例与利率，用于可比性。</x:v>
      </x:c>
    </x:row>
    <x:row r="4"/>
    <x:row r="5" ht="15" hidden="0" customHeight="1">
      <x:c r="A5" s="33" t="str">
        <x:v>年份</x:v>
      </x:c>
      <x:c r="B5" s="33" t="str">
        <x:v>期初余额</x:v>
      </x:c>
      <x:c r="C5" s="33" t="str">
        <x:v>年偿付额</x:v>
      </x:c>
      <x:c r="D5" s="33" t="str">
        <x:v>利息</x:v>
      </x:c>
      <x:c r="E5" s="33" t="str">
        <x:v>本金</x:v>
      </x:c>
      <x:c r="F5" s="33" t="str">
        <x:v>期末余额</x:v>
      </x:c>
      <x:c r="G5" s="33" t="str">
        <x:v>资金成本</x:v>
      </x:c>
      <x:c r="H5" s="33" t="str">
        <x:v>净息差</x:v>
      </x:c>
    </x:row>
    <x:row r="6" ht="15" hidden="0" customHeight="1">
      <x:c r="A6" s="35" t="n">
        <x:v>1</x:v>
      </x:c>
      <x:c r="B6" s="34" t="n">
        <x:f>'假设'!$B$25</x:f>
        <x:v>10500000</x:v>
      </x:c>
      <x:c r="C6" s="34" t="n">
        <x:f>'假设'!$B$27</x:f>
        <x:v>1426613.56131403</x:v>
      </x:c>
      <x:c r="D6" s="34" t="n">
        <x:f>B6*'假设'!$B$18</x:f>
        <x:v>630000</x:v>
      </x:c>
      <x:c r="E6" s="34" t="n">
        <x:f>C6-D6</x:f>
        <x:v>796613.5613140301</x:v>
      </x:c>
      <x:c r="F6" s="34" t="n">
        <x:f>MAX(B6-E6,0)</x:f>
        <x:v>9703386.43868597</x:v>
      </x:c>
      <x:c r="G6" s="34" t="n">
        <x:f>B6*'假设'!$B$19</x:f>
        <x:v>367500.00000000006</x:v>
      </x:c>
      <x:c r="H6" s="34" t="n">
        <x:f>D6-G6</x:f>
        <x:v>262499.99999999994</x:v>
      </x:c>
    </x:row>
    <x:row r="7" ht="15" hidden="0" customHeight="1">
      <x:c r="A7" s="35" t="n">
        <x:v>2</x:v>
      </x:c>
      <x:c r="B7" s="34" t="n">
        <x:f>F6</x:f>
        <x:v>9703386.43868597</x:v>
      </x:c>
      <x:c r="C7" s="34" t="n">
        <x:f>'假设'!$B$27</x:f>
        <x:v>1426613.56131403</x:v>
      </x:c>
      <x:c r="D7" s="34" t="n">
        <x:f>B7*'假设'!$B$18</x:f>
        <x:v>582203.1863211582</x:v>
      </x:c>
      <x:c r="E7" s="34" t="n">
        <x:f>C7-D7</x:f>
        <x:v>844410.3749928719</x:v>
      </x:c>
      <x:c r="F7" s="34" t="n">
        <x:f>MAX(B7-E7,0)</x:f>
        <x:v>8858976.063693099</x:v>
      </x:c>
      <x:c r="G7" s="34" t="n">
        <x:f>B7*'假设'!$B$19</x:f>
        <x:v>339618.525354009</x:v>
      </x:c>
      <x:c r="H7" s="34" t="n">
        <x:f>D7-G7</x:f>
        <x:v>242584.6609671492</x:v>
      </x:c>
    </x:row>
    <x:row r="8" ht="15" hidden="0" customHeight="1">
      <x:c r="A8" s="35" t="n">
        <x:v>3</x:v>
      </x:c>
      <x:c r="B8" s="34" t="n">
        <x:f>F7</x:f>
        <x:v>8858976.063693099</x:v>
      </x:c>
      <x:c r="C8" s="34" t="n">
        <x:f>'假设'!$B$27</x:f>
        <x:v>1426613.56131403</x:v>
      </x:c>
      <x:c r="D8" s="34" t="n">
        <x:f>B8*'假设'!$B$18</x:f>
        <x:v>531538.5638215858</x:v>
      </x:c>
      <x:c r="E8" s="34" t="n">
        <x:f>C8-D8</x:f>
        <x:v>895074.9974924442</x:v>
      </x:c>
      <x:c r="F8" s="34" t="n">
        <x:f>MAX(B8-E8,0)</x:f>
        <x:v>7963901.066200655</x:v>
      </x:c>
      <x:c r="G8" s="34" t="n">
        <x:f>B8*'假设'!$B$19</x:f>
        <x:v>310064.1622292585</x:v>
      </x:c>
      <x:c r="H8" s="34" t="n">
        <x:f>D8-G8</x:f>
        <x:v>221474.40159232734</x:v>
      </x:c>
    </x:row>
    <x:row r="9" ht="15" hidden="0" customHeight="1">
      <x:c r="A9" s="35" t="n">
        <x:v>4</x:v>
      </x:c>
      <x:c r="B9" s="34" t="n">
        <x:f>F8</x:f>
        <x:v>7963901.066200655</x:v>
      </x:c>
      <x:c r="C9" s="34" t="n">
        <x:f>'假设'!$B$27</x:f>
        <x:v>1426613.56131403</x:v>
      </x:c>
      <x:c r="D9" s="34" t="n">
        <x:f>B9*'假设'!$B$18</x:f>
        <x:v>477834.06397203926</x:v>
      </x:c>
      <x:c r="E9" s="34" t="n">
        <x:f>C9-D9</x:f>
        <x:v>948779.4973419908</x:v>
      </x:c>
      <x:c r="F9" s="34" t="n">
        <x:f>MAX(B9-E9,0)</x:f>
        <x:v>7015121.5688586645</x:v>
      </x:c>
      <x:c r="G9" s="34" t="n">
        <x:f>B9*'假设'!$B$19</x:f>
        <x:v>278736.537317023</x:v>
      </x:c>
      <x:c r="H9" s="34" t="n">
        <x:f>D9-G9</x:f>
        <x:v>199097.5266550163</x:v>
      </x:c>
    </x:row>
    <x:row r="10" ht="15" hidden="0" customHeight="1">
      <x:c r="A10" s="35" t="n">
        <x:v>5</x:v>
      </x:c>
      <x:c r="B10" s="34" t="n">
        <x:f>F9</x:f>
        <x:v>7015121.5688586645</x:v>
      </x:c>
      <x:c r="C10" s="34" t="n">
        <x:f>'假设'!$B$27</x:f>
        <x:v>1426613.56131403</x:v>
      </x:c>
      <x:c r="D10" s="34" t="n">
        <x:f>B10*'假设'!$B$18</x:f>
        <x:v>420907.29413151986</x:v>
      </x:c>
      <x:c r="E10" s="34" t="n">
        <x:f>C10-D10</x:f>
        <x:v>1005706.2671825102</x:v>
      </x:c>
      <x:c r="F10" s="34" t="n">
        <x:f>MAX(B10-E10,0)</x:f>
        <x:v>6009415.301676154</x:v>
      </x:c>
      <x:c r="G10" s="34" t="n">
        <x:f>B10*'假设'!$B$19</x:f>
        <x:v>245529.25491005328</x:v>
      </x:c>
      <x:c r="H10" s="34" t="n">
        <x:f>D10-G10</x:f>
        <x:v>175378.03922146658</x:v>
      </x:c>
    </x:row>
    <x:row r="11" ht="15" hidden="0" customHeight="1">
      <x:c r="A11" s="35" t="n">
        <x:v>6</x:v>
      </x:c>
      <x:c r="B11" s="34" t="n">
        <x:f>F10</x:f>
        <x:v>6009415.301676154</x:v>
      </x:c>
      <x:c r="C11" s="34" t="n">
        <x:f>'假设'!$B$27</x:f>
        <x:v>1426613.56131403</x:v>
      </x:c>
      <x:c r="D11" s="34" t="n">
        <x:f>B11*'假设'!$B$18</x:f>
        <x:v>360564.9181005692</x:v>
      </x:c>
      <x:c r="E11" s="34" t="n">
        <x:f>C11-D11</x:f>
        <x:v>1066048.643213461</x:v>
      </x:c>
      <x:c r="F11" s="34" t="n">
        <x:f>MAX(B11-E11,0)</x:f>
        <x:v>4943366.658462693</x:v>
      </x:c>
      <x:c r="G11" s="34" t="n">
        <x:f>B11*'假设'!$B$19</x:f>
        <x:v>210329.5355586654</x:v>
      </x:c>
      <x:c r="H11" s="34" t="n">
        <x:f>D11-G11</x:f>
        <x:v>150235.38254190382</x:v>
      </x:c>
    </x:row>
    <x:row r="12" ht="15" hidden="0" customHeight="1">
      <x:c r="A12" s="35" t="n">
        <x:v>7</x:v>
      </x:c>
      <x:c r="B12" s="34" t="n">
        <x:f>F11</x:f>
        <x:v>4943366.658462693</x:v>
      </x:c>
      <x:c r="C12" s="34" t="n">
        <x:f>'假设'!$B$27</x:f>
        <x:v>1426613.56131403</x:v>
      </x:c>
      <x:c r="D12" s="34" t="n">
        <x:f>B12*'假设'!$B$18</x:f>
        <x:v>296601.99950776156</x:v>
      </x:c>
      <x:c r="E12" s="34" t="n">
        <x:f>C12-D12</x:f>
        <x:v>1130011.5618062685</x:v>
      </x:c>
      <x:c r="F12" s="34" t="n">
        <x:f>MAX(B12-E12,0)</x:f>
        <x:v>3813355.0966564245</x:v>
      </x:c>
      <x:c r="G12" s="34" t="n">
        <x:f>B12*'假设'!$B$19</x:f>
        <x:v>173017.83304619428</x:v>
      </x:c>
      <x:c r="H12" s="34" t="n">
        <x:f>D12-G12</x:f>
        <x:v>123584.16646156728</x:v>
      </x:c>
    </x:row>
    <x:row r="13" ht="15" hidden="0" customHeight="1">
      <x:c r="A13" s="35" t="n">
        <x:v>8</x:v>
      </x:c>
      <x:c r="B13" s="34" t="n">
        <x:f>F12</x:f>
        <x:v>3813355.0966564245</x:v>
      </x:c>
      <x:c r="C13" s="34" t="n">
        <x:f>'假设'!$B$27</x:f>
        <x:v>1426613.56131403</x:v>
      </x:c>
      <x:c r="D13" s="34" t="n">
        <x:f>B13*'假设'!$B$18</x:f>
        <x:v>228801.30579938545</x:v>
      </x:c>
      <x:c r="E13" s="34" t="n">
        <x:f>C13-D13</x:f>
        <x:v>1197812.2555146446</x:v>
      </x:c>
      <x:c r="F13" s="34" t="n">
        <x:f>MAX(B13-E13,0)</x:f>
        <x:v>2615542.84114178</x:v>
      </x:c>
      <x:c r="G13" s="34" t="n">
        <x:f>B13*'假设'!$B$19</x:f>
        <x:v>133467.42838297487</x:v>
      </x:c>
      <x:c r="H13" s="34" t="n">
        <x:f>D13-G13</x:f>
        <x:v>95333.87741641057</x:v>
      </x:c>
    </x:row>
    <x:row r="14" ht="15" hidden="0" customHeight="1">
      <x:c r="A14" s="35" t="n">
        <x:v>9</x:v>
      </x:c>
      <x:c r="B14" s="34" t="n">
        <x:f>F13</x:f>
        <x:v>2615542.84114178</x:v>
      </x:c>
      <x:c r="C14" s="34" t="n">
        <x:f>'假设'!$B$27</x:f>
        <x:v>1426613.56131403</x:v>
      </x:c>
      <x:c r="D14" s="34" t="n">
        <x:f>B14*'假设'!$B$18</x:f>
        <x:v>156932.57046850678</x:v>
      </x:c>
      <x:c r="E14" s="34" t="n">
        <x:f>C14-D14</x:f>
        <x:v>1269680.9908455233</x:v>
      </x:c>
      <x:c r="F14" s="34" t="n">
        <x:f>MAX(B14-E14,0)</x:f>
        <x:v>1345861.8502962566</x:v>
      </x:c>
      <x:c r="G14" s="34" t="n">
        <x:f>B14*'假设'!$B$19</x:f>
        <x:v>91543.99943996231</x:v>
      </x:c>
      <x:c r="H14" s="34" t="n">
        <x:f>D14-G14</x:f>
        <x:v>65388.571028544466</x:v>
      </x:c>
    </x:row>
    <x:row r="15" ht="15" hidden="0" customHeight="1">
      <x:c r="A15" s="35" t="n">
        <x:v>10</x:v>
      </x:c>
      <x:c r="B15" s="34" t="n">
        <x:f>F14</x:f>
        <x:v>1345861.8502962566</x:v>
      </x:c>
      <x:c r="C15" s="34" t="n">
        <x:f>'假设'!$B$27</x:f>
        <x:v>1426613.56131403</x:v>
      </x:c>
      <x:c r="D15" s="34" t="n">
        <x:f>B15*'假设'!$B$18</x:f>
        <x:v>80751.7110177754</x:v>
      </x:c>
      <x:c r="E15" s="34" t="n">
        <x:f>C15-D15</x:f>
        <x:v>1345861.8502962547</x:v>
      </x:c>
      <x:c r="F15" s="34" t="n">
        <x:f>MAX(B15-E15,0)</x:f>
        <x:v>1.862645149230957e-9</x:v>
      </x:c>
      <x:c r="G15" s="34" t="n">
        <x:f>B15*'假设'!$B$19</x:f>
        <x:v>47105.164760368985</x:v>
      </x:c>
      <x:c r="H15" s="34" t="n">
        <x:f>D15-G15</x:f>
        <x:v>33646.54625740641</x:v>
      </x:c>
    </x:row>
    <x:row r="16" ht="15" hidden="0" customHeight="1">
      <x:c r="A16" s="33" t="str">
        <x:v>合计</x:v>
      </x:c>
      <x:c r="B16" s="33" t="str"/>
      <x:c r="C16" s="33" t="n">
        <x:f>SUM(C6:C15)</x:f>
        <x:v>14266135.613140298</x:v>
      </x:c>
      <x:c r="D16" s="33" t="n">
        <x:f>SUM(D6:D15)</x:f>
        <x:v>3766135.613140302</x:v>
      </x:c>
      <x:c r="E16" s="33" t="n">
        <x:f>SUM(E6:E15)</x:f>
        <x:v>10500000</x:v>
      </x:c>
      <x:c r="F16" s="33" t="str"/>
      <x:c r="G16" s="33" t="n">
        <x:f>SUM(G6:G15)</x:f>
        <x:v>2196912.4409985095</x:v>
      </x:c>
      <x:c r="H16" s="33" t="n">
        <x:f>SUM(H6:H15)</x:f>
        <x:v>1569223.1721417918</x:v>
      </x:c>
    </x:row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7" max="7" width="91.86000061035156" hidden="0" customWidth="1"/>
  </x:cols>
  <x:sheetData>
    <x:row r="1" ht="19.53125" hidden="0" customHeight="1">
      <x:c r="A1" s="8" t="str">
        <x:v>四种模式最终各方收益对比（业主年投入恒定）</x:v>
      </x:c>
      <x:c r="B1" s="8" t="str">
        <x:v>四种模式最终各方收益对比（同一组数据）</x:v>
      </x:c>
      <x:c r="C1" s="8" t="str">
        <x:v>四种模式最终各方收益对比（同一组数据）</x:v>
      </x:c>
      <x:c r="D1" s="8" t="str">
        <x:v>四种模式最终各方收益对比（同一组数据）</x:v>
      </x:c>
      <x:c r="E1" s="8" t="str">
        <x:v>四种模式最终各方收益对比（同一组数据）</x:v>
      </x:c>
      <x:c r="F1" s="8" t="str">
        <x:v>四种模式最终各方收益对比（同一组数据）</x:v>
      </x:c>
      <x:c r="G1" s="8" t="str">
        <x:v>四种模式最终各方收益对比（同一组数据）</x:v>
      </x:c>
      <x:c r="H1" s="8" t="str">
        <x:v>四种模式最终各方收益对比（同一组数据）</x:v>
      </x:c>
    </x:row>
    <x:row r="2" ht="19.53125" hidden="0" customHeight="1">
      <x:c r="A2" s="8" t="str">
        <x:v>四种模式最终各方收益对比（同一组数据）</x:v>
      </x:c>
      <x:c r="B2" s="8" t="str">
        <x:v>四种模式最终各方收益对比（同一组数据）</x:v>
      </x:c>
      <x:c r="C2" s="8" t="str">
        <x:v>四种模式最终各方收益对比（同一组数据）</x:v>
      </x:c>
      <x:c r="D2" s="8" t="str">
        <x:v>四种模式最终各方收益对比（同一组数据）</x:v>
      </x:c>
      <x:c r="E2" s="8" t="str">
        <x:v>四种模式最终各方收益对比（同一组数据）</x:v>
      </x:c>
      <x:c r="F2" s="8" t="str">
        <x:v>四种模式最终各方收益对比（同一组数据）</x:v>
      </x:c>
      <x:c r="G2" s="8" t="str">
        <x:v>四种模式最终各方收益对比（同一组数据）</x:v>
      </x:c>
      <x:c r="H2" s="8" t="str">
        <x:v>四种模式最终各方收益对比（同一组数据）</x:v>
      </x:c>
    </x:row>
    <x:row r="3" ht="15" hidden="0" customHeight="1">
      <x:c r="A3" s="12" t="str">
        <x:v>核心看法：在“业主年总投入固定”为同一个数字时，甲方差异主要体现在终值归属，真正被拉开的是核心服务方的收益分配。默认固定值见“假设”表B16。</x:v>
      </x:c>
      <x:c r="B3" s="12" t="str">
        <x:v>核心看法：设备商/EPC/资金方在同一数据下差异不大，真正拉开差距的是‘甲方净节约’与‘核心服务方净现金’。</x:v>
      </x:c>
      <x:c r="C3" s="12" t="str">
        <x:v>核心看法：设备商/EPC/资金方在同一数据下差异不大，真正拉开差距的是‘甲方净节约’与‘核心服务方净现金’。</x:v>
      </x:c>
      <x:c r="D3" s="12" t="str">
        <x:v>核心看法：设备商/EPC/资金方在同一数据下差异不大，真正拉开差距的是‘甲方净节约’与‘核心服务方净现金’。</x:v>
      </x:c>
      <x:c r="E3" s="12" t="str">
        <x:v>核心看法：设备商/EPC/资金方在同一数据下差异不大，真正拉开差距的是‘甲方净节约’与‘核心服务方净现金’。</x:v>
      </x:c>
      <x:c r="F3" s="12" t="str">
        <x:v>核心看法：设备商/EPC/资金方在同一数据下差异不大，真正拉开差距的是‘甲方净节约’与‘核心服务方净现金’。</x:v>
      </x:c>
      <x:c r="G3" s="12" t="str">
        <x:v>核心看法：设备商/EPC/资金方在同一数据下差异不大，真正拉开差距的是‘甲方净节约’与‘核心服务方净现金’。</x:v>
      </x:c>
      <x:c r="H3" s="12" t="str">
        <x:v>核心看法：设备商/EPC/资金方在同一数据下差异不大，真正拉开差距的是‘甲方净节约’与‘核心服务方净现金’。</x:v>
      </x:c>
    </x:row>
    <x:row r="4"/>
    <x:row r="5" ht="15" hidden="0" customHeight="1">
      <x:c r="A5" s="33" t="str">
        <x:v>参与方</x:v>
      </x:c>
      <x:c r="B5" s="33" t="str">
        <x:v>EMC</x:v>
      </x:c>
      <x:c r="C5" s="33" t="str">
        <x:v>能源托管</x:v>
      </x:c>
      <x:c r="D5" s="33" t="str">
        <x:v>LaaS</x:v>
      </x:c>
      <x:c r="E5" s="33" t="str">
        <x:v>租赁</x:v>
      </x:c>
      <x:c r="F5" s="33" t="str">
        <x:v>口径说明</x:v>
      </x:c>
      <x:c r="G5" s="34"/>
      <x:c r="H5" s="33" t="str">
        <x:v>指标</x:v>
      </x:c>
      <x:c r="I5" s="33" t="str">
        <x:v>EMC</x:v>
      </x:c>
      <x:c r="J5" s="33" t="str">
        <x:v>能源托管</x:v>
      </x:c>
      <x:c r="K5" s="33" t="str">
        <x:v>LaaS</x:v>
      </x:c>
      <x:c r="L5" s="33" t="str">
        <x:v>租赁</x:v>
      </x:c>
    </x:row>
    <x:row r="6" ht="15" hidden="0" customHeight="1">
      <x:c r="A6" s="34" t="str">
        <x:v>甲方净收益</x:v>
      </x:c>
      <x:c r="B6" s="37" t="n">
        <x:f>'EMC模式'!$B$7</x:f>
        <x:v>21500000</x:v>
      </x:c>
      <x:c r="C6" s="37" t="n">
        <x:f>'能源托管模式'!$B$7</x:f>
        <x:v>21500000</x:v>
      </x:c>
      <x:c r="D6" s="37" t="n">
        <x:f>'LaaS模式'!$B$7</x:f>
        <x:v>19000000</x:v>
      </x:c>
      <x:c r="E6" s="37" t="n">
        <x:f>'租赁模式'!$B$7</x:f>
        <x:v>21500000</x:v>
      </x:c>
      <x:c r="F6" s="36" t="str">
        <x:v>10年相对基线的节约额 + 若终值归甲方则加上终值</x:v>
      </x:c>
      <x:c r="G6" s="34"/>
      <x:c r="H6" s="34" t="str">
        <x:v>甲方净收益</x:v>
      </x:c>
      <x:c r="I6" s="37" t="n">
        <x:f>B6</x:f>
        <x:v>21500000</x:v>
      </x:c>
      <x:c r="J6" s="37" t="n">
        <x:f>C6</x:f>
        <x:v>21500000</x:v>
      </x:c>
      <x:c r="K6" s="37" t="n">
        <x:f>D6</x:f>
        <x:v>19000000</x:v>
      </x:c>
      <x:c r="L6" s="37" t="n">
        <x:f>E6</x:f>
        <x:v>21500000</x:v>
      </x:c>
    </x:row>
    <x:row r="7" ht="15" hidden="0" customHeight="1">
      <x:c r="A7" s="34" t="str">
        <x:v>核心服务方净现金</x:v>
      </x:c>
      <x:c r="B7" s="37" t="n">
        <x:f>'EMC模式'!$B$8</x:f>
        <x:v>9233864.3868597</x:v>
      </x:c>
      <x:c r="C7" s="37" t="n">
        <x:f>'能源托管模式'!$B$8</x:f>
        <x:v>12233864.3868597</x:v>
      </x:c>
      <x:c r="D7" s="37" t="n">
        <x:f>'LaaS模式'!$B$8</x:f>
        <x:v>14733864.3868597</x:v>
      </x:c>
      <x:c r="E7" s="37" t="n">
        <x:f>'租赁模式'!$B$8</x:f>
        <x:v>14233864.386859702</x:v>
      </x:c>
      <x:c r="F7" s="36" t="str">
        <x:v>收入 + 残值归服务方 – 直接运营成本 – 累计债务偿付 – 初始股权投入</x:v>
      </x:c>
      <x:c r="G7" s="34"/>
      <x:c r="H7" s="34" t="str">
        <x:v>核心服务方净现金</x:v>
      </x:c>
      <x:c r="I7" s="37" t="n">
        <x:f>B7</x:f>
        <x:v>9233864.3868597</x:v>
      </x:c>
      <x:c r="J7" s="37" t="n">
        <x:f>C7</x:f>
        <x:v>12233864.3868597</x:v>
      </x:c>
      <x:c r="K7" s="37" t="n">
        <x:f>D7</x:f>
        <x:v>14733864.3868597</x:v>
      </x:c>
      <x:c r="L7" s="37" t="n">
        <x:f>E7</x:f>
        <x:v>14233864.386859702</x:v>
      </x:c>
    </x:row>
    <x:row r="8" ht="15" hidden="0" customHeight="1">
      <x:c r="A8" s="34" t="str">
        <x:v>设备商利润</x:v>
      </x:c>
      <x:c r="B8" s="37" t="n">
        <x:f>'EMC模式'!$B$11</x:f>
        <x:v>2700000</x:v>
      </x:c>
      <x:c r="C8" s="37" t="n">
        <x:f>'能源托管模式'!$B$11</x:f>
        <x:v>2700000</x:v>
      </x:c>
      <x:c r="D8" s="37" t="n">
        <x:f>'LaaS模式'!$B$11</x:f>
        <x:v>2700000</x:v>
      </x:c>
      <x:c r="E8" s="37" t="n">
        <x:f>'租赁模式'!$B$11</x:f>
        <x:v>2700000</x:v>
      </x:c>
      <x:c r="F8" s="36" t="str">
        <x:v>固定同一CAPEX拆分，用于隔离模式差异</x:v>
      </x:c>
      <x:c r="G8" s="34"/>
      <x:c r="H8" s="34" t="str">
        <x:v>资金方净息差</x:v>
      </x:c>
      <x:c r="I8" s="37" t="n">
        <x:f>B10</x:f>
        <x:v>1569223.1721417918</x:v>
      </x:c>
      <x:c r="J8" s="37" t="n">
        <x:f>C10</x:f>
        <x:v>1569223.1721417918</x:v>
      </x:c>
      <x:c r="K8" s="37" t="n">
        <x:f>D10</x:f>
        <x:v>1569223.1721417918</x:v>
      </x:c>
      <x:c r="L8" s="37" t="n">
        <x:f>E10</x:f>
        <x:v>1569223.1721417918</x:v>
      </x:c>
    </x:row>
    <x:row r="9" ht="15" hidden="0" customHeight="1">
      <x:c r="A9" s="34" t="str">
        <x:v>EPC利润</x:v>
      </x:c>
      <x:c r="B9" s="37" t="n">
        <x:f>'EMC模式'!$B$12</x:f>
        <x:v>600000</x:v>
      </x:c>
      <x:c r="C9" s="37" t="n">
        <x:f>'能源托管模式'!$B$12</x:f>
        <x:v>600000</x:v>
      </x:c>
      <x:c r="D9" s="37" t="n">
        <x:f>'LaaS模式'!$B$12</x:f>
        <x:v>600000</x:v>
      </x:c>
      <x:c r="E9" s="37" t="n">
        <x:f>'租赁模式'!$B$12</x:f>
        <x:v>600000</x:v>
      </x:c>
      <x:c r="F9" s="36" t="str">
        <x:v>固定同一CAPEX拆分，用于隔离模式差异</x:v>
      </x:c>
      <x:c r="G9" s="34"/>
      <x:c r="H9" s="34"/>
      <x:c r="I9" s="34"/>
      <x:c r="J9" s="34"/>
      <x:c r="K9" s="34"/>
      <x:c r="L9" s="34"/>
    </x:row>
    <x:row r="10" ht="15" hidden="0" customHeight="1">
      <x:c r="A10" s="34" t="str">
        <x:v>资金方净息差</x:v>
      </x:c>
      <x:c r="B10" s="37" t="n">
        <x:f>'EMC模式'!$B$14</x:f>
        <x:v>1569223.1721417918</x:v>
      </x:c>
      <x:c r="C10" s="37" t="n">
        <x:f>'能源托管模式'!$B$14</x:f>
        <x:v>1569223.1721417918</x:v>
      </x:c>
      <x:c r="D10" s="37" t="n">
        <x:f>'LaaS模式'!$B$14</x:f>
        <x:v>1569223.1721417918</x:v>
      </x:c>
      <x:c r="E10" s="37" t="n">
        <x:f>'租赁模式'!$B$14</x:f>
        <x:v>1569223.1721417918</x:v>
      </x:c>
      <x:c r="F10" s="36" t="str">
        <x:v>统一债务条件下的净利差收益</x:v>
      </x:c>
      <x:c r="G10" s="34"/>
      <x:c r="H10" s="34"/>
      <x:c r="I10" s="34"/>
      <x:c r="J10" s="34"/>
      <x:c r="K10" s="34"/>
      <x:c r="L10" s="34"/>
    </x:row>
    <x:row r="11">
      <x:c r="A11" s="34"/>
      <x:c r="B11" s="34"/>
      <x:c r="C11" s="34"/>
      <x:c r="D11" s="34"/>
      <x:c r="E11" s="34"/>
      <x:c r="F11" s="34"/>
      <x:c r="G11" s="34"/>
      <x:c r="H11" s="34"/>
      <x:c r="I11" s="34"/>
      <x:c r="J11" s="34"/>
      <x:c r="K11" s="34"/>
      <x:c r="L11" s="34"/>
    </x:row>
    <x:row r="12">
      <x:c r="A12" s="34"/>
      <x:c r="B12" s="34"/>
      <x:c r="C12" s="34"/>
      <x:c r="D12" s="34"/>
      <x:c r="E12" s="34"/>
      <x:c r="F12" s="34"/>
      <x:c r="G12" s="34"/>
      <x:c r="H12" s="34"/>
      <x:c r="I12" s="34"/>
      <x:c r="J12" s="34"/>
      <x:c r="K12" s="34"/>
      <x:c r="L12" s="34"/>
    </x:row>
    <x:row r="13" ht="15" hidden="0" customHeight="1">
      <x:c r="A13" s="33" t="str">
        <x:v>快速结论</x:v>
      </x:c>
      <x:c r="B13" s="33" t="str">
        <x:v>最佳模式</x:v>
      </x:c>
      <x:c r="C13" s="33" t="str">
        <x:v>指标</x:v>
      </x:c>
      <x:c r="D13" s="33" t="str">
        <x:v>数值</x:v>
      </x:c>
      <x:c r="E13" s="34"/>
      <x:c r="F13" s="34"/>
      <x:c r="G13" s="34"/>
      <x:c r="H13" s="34"/>
      <x:c r="I13" s="34"/>
      <x:c r="J13" s="34"/>
      <x:c r="K13" s="34"/>
      <x:c r="L13" s="34"/>
    </x:row>
    <x:row r="14" ht="15" hidden="0" customHeight="1">
      <x:c r="A14" s="34" t="str">
        <x:v>甲方</x:v>
      </x:c>
      <x:c r="B14" s="34" t="str">
        <x:f>INDEX(B$5:E$5,1, MATCH(MAX(B6:E6), B6:E6, 0))</x:f>
        <x:v>EMC</x:v>
      </x:c>
      <x:c r="C14" s="34" t="str">
        <x:v>甲方净收益最高</x:v>
      </x:c>
      <x:c r="D14" s="34" t="n">
        <x:f>MAX(B6:E6)</x:f>
        <x:v>21500000</x:v>
      </x:c>
      <x:c r="E14" s="34"/>
      <x:c r="F14" s="34"/>
      <x:c r="G14" s="34"/>
      <x:c r="H14" s="34"/>
      <x:c r="I14" s="34"/>
      <x:c r="J14" s="34"/>
      <x:c r="K14" s="34"/>
      <x:c r="L14" s="34"/>
    </x:row>
    <x:row r="15" ht="15" hidden="0" customHeight="1">
      <x:c r="A15" s="34" t="str">
        <x:v>核心服务方</x:v>
      </x:c>
      <x:c r="B15" s="34" t="str">
        <x:f>INDEX(B$5:E$5,1, MATCH(MAX(B7:E7), B7:E7, 0))</x:f>
        <x:v>LaaS</x:v>
      </x:c>
      <x:c r="C15" s="34" t="str">
        <x:v>核心服务方净现金最高</x:v>
      </x:c>
      <x:c r="D15" s="34" t="n">
        <x:f>MAX(B7:E7)</x:f>
        <x:v>14733864.3868597</x:v>
      </x:c>
      <x:c r="E15" s="34"/>
      <x:c r="F15" s="34"/>
      <x:c r="G15" s="34"/>
      <x:c r="H15" s="34"/>
      <x:c r="I15" s="34"/>
      <x:c r="J15" s="34"/>
      <x:c r="K15" s="34"/>
      <x:c r="L15" s="34"/>
    </x:row>
    <x:row r="16" ht="15" hidden="0" customHeight="1">
      <x:c r="A16" s="34" t="str">
        <x:v>提醒</x:v>
      </x:c>
      <x:c r="B16" s="34" t="str">
        <x:v>LaaS若要成立</x:v>
      </x:c>
      <x:c r="C16" s="34" t="str">
        <x:v>需确保残值归服务方，或提高订阅费</x:v>
      </x:c>
      <x:c r="D16" s="34"/>
      <x:c r="E16" s="34"/>
      <x:c r="F16" s="34"/>
      <x:c r="G16" s="34"/>
      <x:c r="H16" s="34"/>
      <x:c r="I16" s="34"/>
      <x:c r="J16" s="34"/>
      <x:c r="K16" s="34"/>
      <x:c r="L16" s="34"/>
    </x:row>
    <x:row r="17"/>
    <x:row r="18">
      <x:c r="A18" s="51" t="str">
        <x:v>新增阅读指引</x:v>
      </x:c>
      <x:c r="B18" s="51" t="str">
        <x:v>先看“逐年利润对比”了解每年谁更赚，再看“年度差异来源”定位差额到底来自服务费、电费/运维承担还是残值归属。</x:v>
      </x:c>
      <x:c r="C18" s="51"/>
      <x:c r="D18" s="51"/>
      <x:c r="E18" s="51"/>
      <x:c r="F18" s="51"/>
    </x:row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  <x:drawing xmlns:r="http://schemas.openxmlformats.org/officeDocument/2006/relationships" r:id="R999b3cd41afc47d1"/>
</x:worksheet>
</file>

<file path=xl/worksheets/sheet4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17" max="17" width="18" hidden="0" customWidth="1"/>
    <x:col min="18" max="18" width="18" hidden="0" customWidth="1"/>
    <x:col min="19" max="19" width="3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3" max="3" width="59.709999084472656" hidden="0" customWidth="1"/>
  </x:cols>
  <x:sheetData>
    <x:row r="1" ht="19.53125" hidden="0" customHeight="1">
      <x:c r="A1" s="8" t="str">
        <x:v>EMC：业主年投入恒定下的参与方收益拆解</x:v>
      </x:c>
      <x:c r="B1" s="8" t="str">
        <x:v>EMC：10年期参与方收益拆解</x:v>
      </x:c>
      <x:c r="C1" s="8" t="str">
        <x:v>EMC：10年期参与方收益拆解</x:v>
      </x:c>
      <x:c r="D1" s="8" t="str">
        <x:v>EMC：10年期参与方收益拆解</x:v>
      </x:c>
      <x:c r="E1" s="8" t="str">
        <x:v>EMC：10年期参与方收益拆解</x:v>
      </x:c>
      <x:c r="F1" s="8" t="str">
        <x:v>EMC：10年期参与方收益拆解</x:v>
      </x:c>
      <x:c r="G1" s="8" t="str">
        <x:v>EMC：10年期参与方收益拆解</x:v>
      </x:c>
      <x:c r="H1" s="8" t="str">
        <x:v>EMC：10年期参与方收益拆解</x:v>
      </x:c>
    </x:row>
    <x:row r="2" ht="19.53125" hidden="0" customHeight="1">
      <x:c r="A2" s="8" t="str">
        <x:v>EMC：10年期参与方收益拆解</x:v>
      </x:c>
      <x:c r="B2" s="8" t="str">
        <x:v>EMC：10年期参与方收益拆解</x:v>
      </x:c>
      <x:c r="C2" s="8" t="str">
        <x:v>EMC：10年期参与方收益拆解</x:v>
      </x:c>
      <x:c r="D2" s="8" t="str">
        <x:v>EMC：10年期参与方收益拆解</x:v>
      </x:c>
      <x:c r="E2" s="8" t="str">
        <x:v>EMC：10年期参与方收益拆解</x:v>
      </x:c>
      <x:c r="F2" s="8" t="str">
        <x:v>EMC：10年期参与方收益拆解</x:v>
      </x:c>
      <x:c r="G2" s="8" t="str">
        <x:v>EMC：10年期参与方收益拆解</x:v>
      </x:c>
      <x:c r="H2" s="8" t="str">
        <x:v>EMC：10年期参与方收益拆解</x:v>
      </x:c>
    </x:row>
    <x:row r="3" ht="15" hidden="0" customHeight="1">
      <x:c r="A3" s="12" t="str">
        <x:v>说明：业主每年总投入固定为同一金额；EMC下甲方仍自付电费与运维，剩余部分支付给ESCO。第10年终值归甲方。</x:v>
      </x:c>
      <x:c r="B3" s="12" t="str">
        <x:v>说明：同一底层项目数据，仅更换合同与支付结构。年10含终值/残值。</x:v>
      </x:c>
      <x:c r="C3" s="12" t="str">
        <x:v>说明：同一底层项目数据，仅更换合同与支付结构。年10含终值/残值。</x:v>
      </x:c>
      <x:c r="D3" s="12" t="str">
        <x:v>说明：同一底层项目数据，仅更换合同与支付结构。年10含终值/残值。</x:v>
      </x:c>
      <x:c r="E3" s="12" t="str">
        <x:v>说明：同一底层项目数据，仅更换合同与支付结构。年10含终值/残值。</x:v>
      </x:c>
      <x:c r="F3" s="12" t="str">
        <x:v>说明：同一底层项目数据，仅更换合同与支付结构。年10含终值/残值。</x:v>
      </x:c>
      <x:c r="G3" s="12" t="str">
        <x:v>说明：同一底层项目数据，仅更换合同与支付结构。年10含终值/残值。</x:v>
      </x:c>
      <x:c r="H3" s="12" t="str">
        <x:v>说明：同一底层项目数据，仅更换合同与支付结构。年10含终值/残值。</x:v>
      </x:c>
    </x:row>
    <x:row r="4"/>
    <x:row r="5" ht="15" hidden="0" customHeight="1">
      <x:c r="A5" s="33" t="str">
        <x:v>指标</x:v>
      </x:c>
      <x:c r="B5" s="33" t="str">
        <x:v>数值</x:v>
      </x:c>
      <x:c r="C5" s="34"/>
      <x:c r="D5" s="33" t="str">
        <x:v>年份</x:v>
      </x:c>
      <x:c r="E5" s="33" t="str">
        <x:v>基线成本</x:v>
      </x:c>
      <x:c r="F5" s="33" t="str">
        <x:v>甲方实际流出</x:v>
      </x:c>
      <x:c r="G5" s="33" t="str">
        <x:v>归甲方终值</x:v>
      </x:c>
      <x:c r="H5" s="33" t="str">
        <x:v>甲方增量收益</x:v>
      </x:c>
      <x:c r="I5" s="34"/>
      <x:c r="J5" s="33" t="str">
        <x:v>年份</x:v>
      </x:c>
      <x:c r="K5" s="33" t="str">
        <x:v>收入</x:v>
      </x:c>
      <x:c r="L5" s="33" t="str">
        <x:v>直接运营成本</x:v>
      </x:c>
      <x:c r="M5" s="33" t="str">
        <x:v>债务偿付</x:v>
      </x:c>
      <x:c r="N5" s="33" t="str">
        <x:v>残值归服务方</x:v>
      </x:c>
      <x:c r="O5" s="33" t="str">
        <x:v>股权现金流</x:v>
      </x:c>
      <x:c r="Q5" s="20"/>
      <x:c r="R5" s="20"/>
      <x:c r="S5" s="20"/>
    </x:row>
    <x:row r="6" ht="15" hidden="0" customHeight="1">
      <x:c r="A6" s="34" t="str">
        <x:v>业主年总投入（恒定）</x:v>
      </x:c>
      <x:c r="B6" s="34" t="n">
        <x:f>'假设'!$B$16</x:f>
        <x:v>13100000</x:v>
      </x:c>
      <x:c r="C6" s="34"/>
      <x:c r="D6" s="35" t="n">
        <x:v>1</x:v>
      </x:c>
      <x:c r="E6" s="34" t="n">
        <x:f>'假设'!$B$29</x:f>
        <x:v>15000000</x:v>
      </x:c>
      <x:c r="F6" s="34" t="n">
        <x:f>'假设'!$B$16</x:f>
        <x:v>13100000</x:v>
      </x:c>
      <x:c r="G6" s="34" t="n">
        <x:f>0</x:f>
        <x:v>0</x:v>
      </x:c>
      <x:c r="H6" s="34" t="n">
        <x:f>E6-F6+G6</x:f>
        <x:v>1900000</x:v>
      </x:c>
      <x:c r="I6" s="34"/>
      <x:c r="J6" s="35" t="n">
        <x:v>0</x:v>
      </x:c>
      <x:c r="K6" s="34" t="n">
        <x:f>0</x:f>
        <x:v>0</x:v>
      </x:c>
      <x:c r="L6" s="34" t="n">
        <x:f>0</x:f>
        <x:v>0</x:v>
      </x:c>
      <x:c r="M6" s="34" t="n">
        <x:f>0</x:f>
        <x:v>0</x:v>
      </x:c>
      <x:c r="N6" s="34" t="n">
        <x:f>0</x:f>
        <x:v>0</x:v>
      </x:c>
      <x:c r="O6" s="34" t="n">
        <x:f>-'假设'!$B$26</x:f>
        <x:v>-4500000</x:v>
      </x:c>
      <x:c r="Q6"/>
      <x:c r="R6" s="24"/>
      <x:c r="S6" s="22"/>
    </x:row>
    <x:row r="7" ht="15" hidden="0" customHeight="1">
      <x:c r="A7" s="34" t="str">
        <x:v>甲方10年净收益</x:v>
      </x:c>
      <x:c r="B7" s="34" t="n">
        <x:f>'假设'!$B$30-B6*'假设'!$B$6+='假设'!$B$24</x:f>
        <x:v>21500000</x:v>
      </x:c>
      <x:c r="C7" s="34"/>
      <x:c r="D7" s="35" t="n">
        <x:v>2</x:v>
      </x:c>
      <x:c r="E7" s="34" t="n">
        <x:f>'假设'!$B$29</x:f>
        <x:v>15000000</x:v>
      </x:c>
      <x:c r="F7" s="34" t="n">
        <x:f>'假设'!$B$16</x:f>
        <x:v>13100000</x:v>
      </x:c>
      <x:c r="G7" s="34" t="n">
        <x:f>0</x:f>
        <x:v>0</x:v>
      </x:c>
      <x:c r="H7" s="34" t="n">
        <x:f>E7-F7+G7</x:f>
        <x:v>1900000</x:v>
      </x:c>
      <x:c r="I7" s="34"/>
      <x:c r="J7" s="35" t="n">
        <x:v>1</x:v>
      </x:c>
      <x:c r="K7" s="34" t="n">
        <x:f>'假设'!$H$6</x:f>
        <x:v>3500000</x:v>
      </x:c>
      <x:c r="L7" s="34" t="n">
        <x:f>'假设'!$B$14</x:f>
        <x:v>700000</x:v>
      </x:c>
      <x:c r="M7" s="34" t="n">
        <x:f>'假设'!$B$27</x:f>
        <x:v>1426613.56131403</x:v>
      </x:c>
      <x:c r="N7" s="34" t="n">
        <x:f>0</x:f>
        <x:v>0</x:v>
      </x:c>
      <x:c r="O7" s="34" t="n">
        <x:f>K7-L7-M7+N7</x:f>
        <x:v>1373386.43868597</x:v>
      </x:c>
      <x:c r="Q7"/>
      <x:c r="R7" s="24"/>
      <x:c r="S7" s="22"/>
    </x:row>
    <x:row r="8" ht="15" hidden="0" customHeight="1">
      <x:c r="A8" s="34" t="str">
        <x:v>核心服务方10年净现金</x:v>
      </x:c>
      <x:c r="B8" s="34" t="n">
        <x:f>SUM(O6:O16)</x:f>
        <x:v>9233864.3868597</x:v>
      </x:c>
      <x:c r="C8" s="34"/>
      <x:c r="D8" s="35" t="n">
        <x:v>3</x:v>
      </x:c>
      <x:c r="E8" s="34" t="n">
        <x:f>'假设'!$B$29</x:f>
        <x:v>15000000</x:v>
      </x:c>
      <x:c r="F8" s="34" t="n">
        <x:f>'假设'!$B$16</x:f>
        <x:v>13100000</x:v>
      </x:c>
      <x:c r="G8" s="34" t="n">
        <x:f>0</x:f>
        <x:v>0</x:v>
      </x:c>
      <x:c r="H8" s="34" t="n">
        <x:f>E8-F8+G8</x:f>
        <x:v>1900000</x:v>
      </x:c>
      <x:c r="I8" s="34"/>
      <x:c r="J8" s="35" t="n">
        <x:v>2</x:v>
      </x:c>
      <x:c r="K8" s="34" t="n">
        <x:f>'假设'!$H$6</x:f>
        <x:v>3500000</x:v>
      </x:c>
      <x:c r="L8" s="34" t="n">
        <x:f>'假设'!$B$14</x:f>
        <x:v>700000</x:v>
      </x:c>
      <x:c r="M8" s="34" t="n">
        <x:f>'假设'!$B$27</x:f>
        <x:v>1426613.56131403</x:v>
      </x:c>
      <x:c r="N8" s="34" t="n">
        <x:f>0</x:f>
        <x:v>0</x:v>
      </x:c>
      <x:c r="O8" s="34" t="n">
        <x:f>K8-L8-M8+N8</x:f>
        <x:v>1373386.43868597</x:v>
      </x:c>
      <x:c r="Q8"/>
      <x:c r="R8" s="24"/>
      <x:c r="S8" s="22"/>
    </x:row>
    <x:row r="9" ht="15" hidden="0" customHeight="1">
      <x:c r="A9" s="34" t="str">
        <x:v>核心服务方10年收入</x:v>
      </x:c>
      <x:c r="B9" s="34" t="n">
        <x:f>SUM(K6:K16)+SUM(N6:N16)</x:f>
        <x:v>35000000</x:v>
      </x:c>
      <x:c r="C9" s="34"/>
      <x:c r="D9" s="35" t="n">
        <x:v>4</x:v>
      </x:c>
      <x:c r="E9" s="34" t="n">
        <x:f>'假设'!$B$29</x:f>
        <x:v>15000000</x:v>
      </x:c>
      <x:c r="F9" s="34" t="n">
        <x:f>'假设'!$B$16</x:f>
        <x:v>13100000</x:v>
      </x:c>
      <x:c r="G9" s="34" t="n">
        <x:f>0</x:f>
        <x:v>0</x:v>
      </x:c>
      <x:c r="H9" s="34" t="n">
        <x:f>E9-F9+G9</x:f>
        <x:v>1900000</x:v>
      </x:c>
      <x:c r="I9" s="34"/>
      <x:c r="J9" s="35" t="n">
        <x:v>3</x:v>
      </x:c>
      <x:c r="K9" s="34" t="n">
        <x:f>'假设'!$H$6</x:f>
        <x:v>3500000</x:v>
      </x:c>
      <x:c r="L9" s="34" t="n">
        <x:f>'假设'!$B$14</x:f>
        <x:v>700000</x:v>
      </x:c>
      <x:c r="M9" s="34" t="n">
        <x:f>'假设'!$B$27</x:f>
        <x:v>1426613.56131403</x:v>
      </x:c>
      <x:c r="N9" s="34" t="n">
        <x:f>0</x:f>
        <x:v>0</x:v>
      </x:c>
      <x:c r="O9" s="34" t="n">
        <x:f>K9-L9-M9+N9</x:f>
        <x:v>1373386.43868597</x:v>
      </x:c>
      <x:c r="Q9"/>
      <x:c r="R9" s="24"/>
      <x:c r="S9" s="22"/>
    </x:row>
    <x:row r="10" ht="15" hidden="0" customHeight="1">
      <x:c r="A10" s="34" t="str">
        <x:v>核心服务方10年直接运营成本</x:v>
      </x:c>
      <x:c r="B10" s="34" t="n">
        <x:f>SUM(L6:L16)</x:f>
        <x:v>7000000</x:v>
      </x:c>
      <x:c r="C10" s="34"/>
      <x:c r="D10" s="35" t="n">
        <x:v>5</x:v>
      </x:c>
      <x:c r="E10" s="34" t="n">
        <x:f>'假设'!$B$29</x:f>
        <x:v>15000000</x:v>
      </x:c>
      <x:c r="F10" s="34" t="n">
        <x:f>'假设'!$B$16</x:f>
        <x:v>13100000</x:v>
      </x:c>
      <x:c r="G10" s="34" t="n">
        <x:f>0</x:f>
        <x:v>0</x:v>
      </x:c>
      <x:c r="H10" s="34" t="n">
        <x:f>E10-F10+G10</x:f>
        <x:v>1900000</x:v>
      </x:c>
      <x:c r="I10" s="34"/>
      <x:c r="J10" s="35" t="n">
        <x:v>4</x:v>
      </x:c>
      <x:c r="K10" s="34" t="n">
        <x:f>'假设'!$H$6</x:f>
        <x:v>3500000</x:v>
      </x:c>
      <x:c r="L10" s="34" t="n">
        <x:f>'假设'!$B$14</x:f>
        <x:v>700000</x:v>
      </x:c>
      <x:c r="M10" s="34" t="n">
        <x:f>'假设'!$B$27</x:f>
        <x:v>1426613.56131403</x:v>
      </x:c>
      <x:c r="N10" s="34" t="n">
        <x:f>0</x:f>
        <x:v>0</x:v>
      </x:c>
      <x:c r="O10" s="34" t="n">
        <x:f>K10-L10-M10+N10</x:f>
        <x:v>1373386.43868597</x:v>
      </x:c>
      <x:c r="Q10"/>
      <x:c r="R10" s="24"/>
      <x:c r="S10" s="22"/>
    </x:row>
    <x:row r="11" ht="15" hidden="0" customHeight="1">
      <x:c r="A11" s="34" t="str">
        <x:v>设备商利润</x:v>
      </x:c>
      <x:c r="B11" s="34" t="n">
        <x:f>'假设'!$B$8*'假设'!$B$20*'假设'!$B$21</x:f>
        <x:v>2700000</x:v>
      </x:c>
      <x:c r="C11" s="34"/>
      <x:c r="D11" s="35" t="n">
        <x:v>6</x:v>
      </x:c>
      <x:c r="E11" s="34" t="n">
        <x:f>'假设'!$B$29</x:f>
        <x:v>15000000</x:v>
      </x:c>
      <x:c r="F11" s="34" t="n">
        <x:f>'假设'!$B$16</x:f>
        <x:v>13100000</x:v>
      </x:c>
      <x:c r="G11" s="34" t="n">
        <x:f>0</x:f>
        <x:v>0</x:v>
      </x:c>
      <x:c r="H11" s="34" t="n">
        <x:f>E11-F11+G11</x:f>
        <x:v>1900000</x:v>
      </x:c>
      <x:c r="I11" s="34"/>
      <x:c r="J11" s="35" t="n">
        <x:v>5</x:v>
      </x:c>
      <x:c r="K11" s="34" t="n">
        <x:f>'假设'!$H$6</x:f>
        <x:v>3500000</x:v>
      </x:c>
      <x:c r="L11" s="34" t="n">
        <x:f>'假设'!$B$14</x:f>
        <x:v>700000</x:v>
      </x:c>
      <x:c r="M11" s="34" t="n">
        <x:f>'假设'!$B$27</x:f>
        <x:v>1426613.56131403</x:v>
      </x:c>
      <x:c r="N11" s="34" t="n">
        <x:f>0</x:f>
        <x:v>0</x:v>
      </x:c>
      <x:c r="O11" s="34" t="n">
        <x:f>K11-L11-M11+N11</x:f>
        <x:v>1373386.43868597</x:v>
      </x:c>
      <x:c r="Q11"/>
      <x:c r="R11" s="24"/>
      <x:c r="S11" s="22"/>
    </x:row>
    <x:row r="12" ht="15" hidden="0" customHeight="1">
      <x:c r="A12" s="34" t="str">
        <x:v>EPC利润</x:v>
      </x:c>
      <x:c r="B12" s="34" t="n">
        <x:f>'假设'!$B$8*'假设'!$B$22*'假设'!$B$23</x:f>
        <x:v>600000</x:v>
      </x:c>
      <x:c r="C12" s="34"/>
      <x:c r="D12" s="35" t="n">
        <x:v>7</x:v>
      </x:c>
      <x:c r="E12" s="34" t="n">
        <x:f>'假设'!$B$29</x:f>
        <x:v>15000000</x:v>
      </x:c>
      <x:c r="F12" s="34" t="n">
        <x:f>'假设'!$B$16</x:f>
        <x:v>13100000</x:v>
      </x:c>
      <x:c r="G12" s="34" t="n">
        <x:f>0</x:f>
        <x:v>0</x:v>
      </x:c>
      <x:c r="H12" s="34" t="n">
        <x:f>E12-F12+G12</x:f>
        <x:v>1900000</x:v>
      </x:c>
      <x:c r="I12" s="34"/>
      <x:c r="J12" s="35" t="n">
        <x:v>6</x:v>
      </x:c>
      <x:c r="K12" s="34" t="n">
        <x:f>'假设'!$H$6</x:f>
        <x:v>3500000</x:v>
      </x:c>
      <x:c r="L12" s="34" t="n">
        <x:f>'假设'!$B$14</x:f>
        <x:v>700000</x:v>
      </x:c>
      <x:c r="M12" s="34" t="n">
        <x:f>'假设'!$B$27</x:f>
        <x:v>1426613.56131403</x:v>
      </x:c>
      <x:c r="N12" s="34" t="n">
        <x:f>0</x:f>
        <x:v>0</x:v>
      </x:c>
      <x:c r="O12" s="34" t="n">
        <x:f>K12-L12-M12+N12</x:f>
        <x:v>1373386.43868597</x:v>
      </x:c>
    </x:row>
    <x:row r="13" ht="15" hidden="0" customHeight="1">
      <x:c r="A13" s="34" t="str">
        <x:v>资金方总利息</x:v>
      </x:c>
      <x:c r="B13" s="34" t="n">
        <x:f>'融资摊还'!$D$16</x:f>
        <x:v>3766135.613140302</x:v>
      </x:c>
      <x:c r="C13" s="34"/>
      <x:c r="D13" s="35" t="n">
        <x:v>8</x:v>
      </x:c>
      <x:c r="E13" s="34" t="n">
        <x:f>'假设'!$B$29</x:f>
        <x:v>15000000</x:v>
      </x:c>
      <x:c r="F13" s="34" t="n">
        <x:f>'假设'!$B$16</x:f>
        <x:v>13100000</x:v>
      </x:c>
      <x:c r="G13" s="34" t="n">
        <x:f>0</x:f>
        <x:v>0</x:v>
      </x:c>
      <x:c r="H13" s="34" t="n">
        <x:f>E13-F13+G13</x:f>
        <x:v>1900000</x:v>
      </x:c>
      <x:c r="I13" s="34"/>
      <x:c r="J13" s="35" t="n">
        <x:v>7</x:v>
      </x:c>
      <x:c r="K13" s="34" t="n">
        <x:f>'假设'!$H$6</x:f>
        <x:v>3500000</x:v>
      </x:c>
      <x:c r="L13" s="34" t="n">
        <x:f>'假设'!$B$14</x:f>
        <x:v>700000</x:v>
      </x:c>
      <x:c r="M13" s="34" t="n">
        <x:f>'假设'!$B$27</x:f>
        <x:v>1426613.56131403</x:v>
      </x:c>
      <x:c r="N13" s="34" t="n">
        <x:f>0</x:f>
        <x:v>0</x:v>
      </x:c>
      <x:c r="O13" s="34" t="n">
        <x:f>K13-L13-M13+N13</x:f>
        <x:v>1373386.43868597</x:v>
      </x:c>
    </x:row>
    <x:row r="14" ht="15" hidden="0" customHeight="1">
      <x:c r="A14" s="34" t="str">
        <x:v>资金方净息差</x:v>
      </x:c>
      <x:c r="B14" s="34" t="n">
        <x:f>'融资摊还'!$H$16</x:f>
        <x:v>1569223.1721417918</x:v>
      </x:c>
      <x:c r="C14" s="34"/>
      <x:c r="D14" s="35" t="n">
        <x:v>9</x:v>
      </x:c>
      <x:c r="E14" s="34" t="n">
        <x:f>'假设'!$B$29</x:f>
        <x:v>15000000</x:v>
      </x:c>
      <x:c r="F14" s="34" t="n">
        <x:f>'假设'!$B$16</x:f>
        <x:v>13100000</x:v>
      </x:c>
      <x:c r="G14" s="34" t="n">
        <x:f>0</x:f>
        <x:v>0</x:v>
      </x:c>
      <x:c r="H14" s="34" t="n">
        <x:f>E14-F14+G14</x:f>
        <x:v>1900000</x:v>
      </x:c>
      <x:c r="I14" s="34"/>
      <x:c r="J14" s="35" t="n">
        <x:v>8</x:v>
      </x:c>
      <x:c r="K14" s="34" t="n">
        <x:f>'假设'!$H$6</x:f>
        <x:v>3500000</x:v>
      </x:c>
      <x:c r="L14" s="34" t="n">
        <x:f>'假设'!$B$14</x:f>
        <x:v>700000</x:v>
      </x:c>
      <x:c r="M14" s="34" t="n">
        <x:f>'假设'!$B$27</x:f>
        <x:v>1426613.56131403</x:v>
      </x:c>
      <x:c r="N14" s="34" t="n">
        <x:f>0</x:f>
        <x:v>0</x:v>
      </x:c>
      <x:c r="O14" s="34" t="n">
        <x:f>K14-L14-M14+N14</x:f>
        <x:v>1373386.43868597</x:v>
      </x:c>
    </x:row>
    <x:row r="15" ht="15" hidden="0" customHeight="1">
      <x:c r="A15" s="34"/>
      <x:c r="B15" s="34"/>
      <x:c r="C15" s="34"/>
      <x:c r="D15" s="35" t="n">
        <x:v>10</x:v>
      </x:c>
      <x:c r="E15" s="34" t="n">
        <x:f>'假设'!$B$29</x:f>
        <x:v>15000000</x:v>
      </x:c>
      <x:c r="F15" s="34" t="n">
        <x:f>'假设'!$B$16</x:f>
        <x:v>13100000</x:v>
      </x:c>
      <x:c r="G15" s="34" t="n">
        <x:f>'假设'!$B$24</x:f>
        <x:v>2500000</x:v>
      </x:c>
      <x:c r="H15" s="34" t="n">
        <x:f>E15-F15+G15</x:f>
        <x:v>4400000</x:v>
      </x:c>
      <x:c r="I15" s="34"/>
      <x:c r="J15" s="35" t="n">
        <x:v>9</x:v>
      </x:c>
      <x:c r="K15" s="34" t="n">
        <x:f>'假设'!$H$6</x:f>
        <x:v>3500000</x:v>
      </x:c>
      <x:c r="L15" s="34" t="n">
        <x:f>'假设'!$B$14</x:f>
        <x:v>700000</x:v>
      </x:c>
      <x:c r="M15" s="34" t="n">
        <x:f>'假设'!$B$27</x:f>
        <x:v>1426613.56131403</x:v>
      </x:c>
      <x:c r="N15" s="34" t="n">
        <x:f>0</x:f>
        <x:v>0</x:v>
      </x:c>
      <x:c r="O15" s="34" t="n">
        <x:f>K15-L15-M15+N15</x:f>
        <x:v>1373386.43868597</x:v>
      </x:c>
    </x:row>
    <x:row r="16" ht="15" hidden="0" customHeight="1">
      <x:c r="A16" s="34"/>
      <x:c r="B16" s="34"/>
      <x:c r="C16" s="34"/>
      <x:c r="D16" s="34" t="str">
        <x:v>合计</x:v>
      </x:c>
      <x:c r="E16" s="34" t="n">
        <x:f>SUM(E6:E15)</x:f>
        <x:v>150000000</x:v>
      </x:c>
      <x:c r="F16" s="34" t="n">
        <x:f>SUM(F6:F15)</x:f>
        <x:v>131000000</x:v>
      </x:c>
      <x:c r="G16" s="34" t="n">
        <x:f>SUM(G6:G15)</x:f>
        <x:v>2500000</x:v>
      </x:c>
      <x:c r="H16" s="34" t="n">
        <x:f>SUM(H6:H15)</x:f>
        <x:v>21500000</x:v>
      </x:c>
      <x:c r="I16" s="34"/>
      <x:c r="J16" s="35" t="n">
        <x:v>10</x:v>
      </x:c>
      <x:c r="K16" s="34" t="n">
        <x:f>'假设'!$H$6</x:f>
        <x:v>3500000</x:v>
      </x:c>
      <x:c r="L16" s="34" t="n">
        <x:f>'假设'!$B$14</x:f>
        <x:v>700000</x:v>
      </x:c>
      <x:c r="M16" s="34" t="n">
        <x:f>'假设'!$B$27</x:f>
        <x:v>1426613.56131403</x:v>
      </x:c>
      <x:c r="N16" s="34" t="n">
        <x:f>0</x:f>
        <x:v>0</x:v>
      </x:c>
      <x:c r="O16" s="34" t="n">
        <x:f>K16-L16-M16+N16</x:f>
        <x:v>1373386.43868597</x:v>
      </x:c>
    </x:row>
    <x:row r="17" ht="15" hidden="0" customHeight="1">
      <x:c r="A17" s="34"/>
      <x:c r="B17" s="34"/>
      <x:c r="C17" s="34"/>
      <x:c r="D17" s="33"/>
      <x:c r="E17" s="33"/>
      <x:c r="F17" s="33"/>
      <x:c r="G17" s="33"/>
      <x:c r="H17" s="33"/>
      <x:c r="I17" s="34"/>
      <x:c r="J17" s="33" t="str">
        <x:v>合计</x:v>
      </x:c>
      <x:c r="K17" s="33" t="n">
        <x:f>SUM(K6:K16)</x:f>
        <x:v>35000000</x:v>
      </x:c>
      <x:c r="L17" s="33" t="n">
        <x:f>SUM(L6:L16)</x:f>
        <x:v>7000000</x:v>
      </x:c>
      <x:c r="M17" s="33" t="n">
        <x:f>SUM(M6:M16)</x:f>
        <x:v>14266135.613140298</x:v>
      </x:c>
      <x:c r="N17" s="33" t="n">
        <x:f>SUM(N6:N16)</x:f>
        <x:v>0</x:v>
      </x:c>
      <x:c r="O17" s="33" t="n">
        <x:f>SUM(O6:O16)</x:f>
        <x:v>9233864.3868597</x:v>
      </x:c>
    </x:row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17" max="17" width="18" hidden="0" customWidth="1"/>
    <x:col min="18" max="18" width="18" hidden="0" customWidth="1"/>
    <x:col min="19" max="19" width="3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3" max="3" width="59.709999084472656" hidden="0" customWidth="1"/>
  </x:cols>
  <x:sheetData>
    <x:row r="1" ht="19.53125" hidden="0" customHeight="1">
      <x:c r="A1" s="8" t="str">
        <x:v>能源托管：业主年投入恒定下的参与方收益拆解</x:v>
      </x:c>
      <x:c r="B1" s="8" t="str">
        <x:v>能源托管：10年期参与方收益拆解</x:v>
      </x:c>
      <x:c r="C1" s="8" t="str">
        <x:v>能源托管：10年期参与方收益拆解</x:v>
      </x:c>
      <x:c r="D1" s="8" t="str">
        <x:v>能源托管：10年期参与方收益拆解</x:v>
      </x:c>
      <x:c r="E1" s="8" t="str">
        <x:v>能源托管：10年期参与方收益拆解</x:v>
      </x:c>
      <x:c r="F1" s="8" t="str">
        <x:v>能源托管：10年期参与方收益拆解</x:v>
      </x:c>
      <x:c r="G1" s="8" t="str">
        <x:v>能源托管：10年期参与方收益拆解</x:v>
      </x:c>
      <x:c r="H1" s="8" t="str">
        <x:v>能源托管：10年期参与方收益拆解</x:v>
      </x:c>
    </x:row>
    <x:row r="2" ht="19.53125" hidden="0" customHeight="1">
      <x:c r="A2" s="8" t="str">
        <x:v>能源托管：10年期参与方收益拆解</x:v>
      </x:c>
      <x:c r="B2" s="8" t="str">
        <x:v>能源托管：10年期参与方收益拆解</x:v>
      </x:c>
      <x:c r="C2" s="8" t="str">
        <x:v>能源托管：10年期参与方收益拆解</x:v>
      </x:c>
      <x:c r="D2" s="8" t="str">
        <x:v>能源托管：10年期参与方收益拆解</x:v>
      </x:c>
      <x:c r="E2" s="8" t="str">
        <x:v>能源托管：10年期参与方收益拆解</x:v>
      </x:c>
      <x:c r="F2" s="8" t="str">
        <x:v>能源托管：10年期参与方收益拆解</x:v>
      </x:c>
      <x:c r="G2" s="8" t="str">
        <x:v>能源托管：10年期参与方收益拆解</x:v>
      </x:c>
      <x:c r="H2" s="8" t="str">
        <x:v>能源托管：10年期参与方收益拆解</x:v>
      </x:c>
    </x:row>
    <x:row r="3" ht="15" hidden="0" customHeight="1">
      <x:c r="A3" s="12" t="str">
        <x:v>说明：业主每年总投入固定为同一金额；能源托管下甲方不再单独支付电费与运维，全部体现在托管费中。第10年终值归甲方。</x:v>
      </x:c>
      <x:c r="B3" s="12" t="str">
        <x:v>说明：同一底层项目数据，仅更换合同与支付结构。年10含终值/残值。</x:v>
      </x:c>
      <x:c r="C3" s="12" t="str">
        <x:v>说明：同一底层项目数据，仅更换合同与支付结构。年10含终值/残值。</x:v>
      </x:c>
      <x:c r="D3" s="12" t="str">
        <x:v>说明：同一底层项目数据，仅更换合同与支付结构。年10含终值/残值。</x:v>
      </x:c>
      <x:c r="E3" s="12" t="str">
        <x:v>说明：同一底层项目数据，仅更换合同与支付结构。年10含终值/残值。</x:v>
      </x:c>
      <x:c r="F3" s="12" t="str">
        <x:v>说明：同一底层项目数据，仅更换合同与支付结构。年10含终值/残值。</x:v>
      </x:c>
      <x:c r="G3" s="12" t="str">
        <x:v>说明：同一底层项目数据，仅更换合同与支付结构。年10含终值/残值。</x:v>
      </x:c>
      <x:c r="H3" s="12" t="str">
        <x:v>说明：同一底层项目数据，仅更换合同与支付结构。年10含终值/残值。</x:v>
      </x:c>
    </x:row>
    <x:row r="4"/>
    <x:row r="5" ht="15" hidden="0" customHeight="1">
      <x:c r="A5" s="33" t="str">
        <x:v>指标</x:v>
      </x:c>
      <x:c r="B5" s="33" t="str">
        <x:v>数值</x:v>
      </x:c>
      <x:c r="C5" s="34"/>
      <x:c r="D5" s="33" t="str">
        <x:v>年份</x:v>
      </x:c>
      <x:c r="E5" s="33" t="str">
        <x:v>基线成本</x:v>
      </x:c>
      <x:c r="F5" s="33" t="str">
        <x:v>甲方实际流出</x:v>
      </x:c>
      <x:c r="G5" s="33" t="str">
        <x:v>归甲方终值</x:v>
      </x:c>
      <x:c r="H5" s="33" t="str">
        <x:v>甲方增量收益</x:v>
      </x:c>
      <x:c r="I5" s="34"/>
      <x:c r="J5" s="33" t="str">
        <x:v>年份</x:v>
      </x:c>
      <x:c r="K5" s="33" t="str">
        <x:v>收入</x:v>
      </x:c>
      <x:c r="L5" s="33" t="str">
        <x:v>直接运营成本</x:v>
      </x:c>
      <x:c r="M5" s="33" t="str">
        <x:v>债务偿付</x:v>
      </x:c>
      <x:c r="N5" s="33" t="str">
        <x:v>残值归服务方</x:v>
      </x:c>
      <x:c r="O5" s="33" t="str">
        <x:v>股权现金流</x:v>
      </x:c>
      <x:c r="Q5" s="20"/>
      <x:c r="R5" s="20"/>
      <x:c r="S5" s="20"/>
    </x:row>
    <x:row r="6" ht="15" hidden="0" customHeight="1">
      <x:c r="A6" s="34" t="str">
        <x:v>业主年总投入（恒定）</x:v>
      </x:c>
      <x:c r="B6" s="34" t="n">
        <x:f>'假设'!$B$16</x:f>
        <x:v>13100000</x:v>
      </x:c>
      <x:c r="C6" s="34"/>
      <x:c r="D6" s="35" t="n">
        <x:v>1</x:v>
      </x:c>
      <x:c r="E6" s="34" t="n">
        <x:f>'假设'!$B$29</x:f>
        <x:v>15000000</x:v>
      </x:c>
      <x:c r="F6" s="34" t="n">
        <x:f>'假设'!$B$16</x:f>
        <x:v>13100000</x:v>
      </x:c>
      <x:c r="G6" s="34" t="n">
        <x:f>0</x:f>
        <x:v>0</x:v>
      </x:c>
      <x:c r="H6" s="34" t="n">
        <x:f>E6-F6+G6</x:f>
        <x:v>1900000</x:v>
      </x:c>
      <x:c r="I6" s="34"/>
      <x:c r="J6" s="35" t="n">
        <x:v>0</x:v>
      </x:c>
      <x:c r="K6" s="34" t="n">
        <x:f>0</x:f>
        <x:v>0</x:v>
      </x:c>
      <x:c r="L6" s="34" t="n">
        <x:f>0</x:f>
        <x:v>0</x:v>
      </x:c>
      <x:c r="M6" s="34" t="n">
        <x:f>0</x:f>
        <x:v>0</x:v>
      </x:c>
      <x:c r="N6" s="34" t="n">
        <x:f>0</x:f>
        <x:v>0</x:v>
      </x:c>
      <x:c r="O6" s="34" t="n">
        <x:f>-'假设'!$B$26</x:f>
        <x:v>-4500000</x:v>
      </x:c>
      <x:c r="Q6"/>
      <x:c r="R6" s="24"/>
      <x:c r="S6" s="22"/>
    </x:row>
    <x:row r="7" ht="15" hidden="0" customHeight="1">
      <x:c r="A7" s="34" t="str">
        <x:v>甲方10年净收益</x:v>
      </x:c>
      <x:c r="B7" s="34" t="n">
        <x:f>'假设'!$B$30-B6*'假设'!$B$6+='假设'!$B$24</x:f>
        <x:v>21500000</x:v>
      </x:c>
      <x:c r="C7" s="34"/>
      <x:c r="D7" s="35" t="n">
        <x:v>2</x:v>
      </x:c>
      <x:c r="E7" s="34" t="n">
        <x:f>'假设'!$B$29</x:f>
        <x:v>15000000</x:v>
      </x:c>
      <x:c r="F7" s="34" t="n">
        <x:f>'假设'!$B$16</x:f>
        <x:v>13100000</x:v>
      </x:c>
      <x:c r="G7" s="34" t="n">
        <x:f>0</x:f>
        <x:v>0</x:v>
      </x:c>
      <x:c r="H7" s="34" t="n">
        <x:f>E7-F7+G7</x:f>
        <x:v>1900000</x:v>
      </x:c>
      <x:c r="I7" s="34"/>
      <x:c r="J7" s="35" t="n">
        <x:v>1</x:v>
      </x:c>
      <x:c r="K7" s="34" t="n">
        <x:f>'假设'!$H$7</x:f>
        <x:v>13100000</x:v>
      </x:c>
      <x:c r="L7" s="34" t="n">
        <x:f>'假设'!$B$11+'假设'!$B$12+'假设'!$B$13</x:f>
        <x:v>10000000</x:v>
      </x:c>
      <x:c r="M7" s="34" t="n">
        <x:f>'假设'!$B$27</x:f>
        <x:v>1426613.56131403</x:v>
      </x:c>
      <x:c r="N7" s="34" t="n">
        <x:f>0</x:f>
        <x:v>0</x:v>
      </x:c>
      <x:c r="O7" s="34" t="n">
        <x:f>K7-L7-M7+N7</x:f>
        <x:v>1673386.43868597</x:v>
      </x:c>
      <x:c r="Q7"/>
      <x:c r="R7" s="24"/>
      <x:c r="S7" s="22"/>
    </x:row>
    <x:row r="8" ht="15" hidden="0" customHeight="1">
      <x:c r="A8" s="34" t="str">
        <x:v>核心服务方10年净现金</x:v>
      </x:c>
      <x:c r="B8" s="34" t="n">
        <x:f>SUM(O6:O16)</x:f>
        <x:v>12233864.3868597</x:v>
      </x:c>
      <x:c r="C8" s="34"/>
      <x:c r="D8" s="35" t="n">
        <x:v>3</x:v>
      </x:c>
      <x:c r="E8" s="34" t="n">
        <x:f>'假设'!$B$29</x:f>
        <x:v>15000000</x:v>
      </x:c>
      <x:c r="F8" s="34" t="n">
        <x:f>'假设'!$B$16</x:f>
        <x:v>13100000</x:v>
      </x:c>
      <x:c r="G8" s="34" t="n">
        <x:f>0</x:f>
        <x:v>0</x:v>
      </x:c>
      <x:c r="H8" s="34" t="n">
        <x:f>E8-F8+G8</x:f>
        <x:v>1900000</x:v>
      </x:c>
      <x:c r="I8" s="34"/>
      <x:c r="J8" s="35" t="n">
        <x:v>2</x:v>
      </x:c>
      <x:c r="K8" s="34" t="n">
        <x:f>'假设'!$H$7</x:f>
        <x:v>13100000</x:v>
      </x:c>
      <x:c r="L8" s="34" t="n">
        <x:f>'假设'!$B$11+'假设'!$B$12+'假设'!$B$13</x:f>
        <x:v>10000000</x:v>
      </x:c>
      <x:c r="M8" s="34" t="n">
        <x:f>'假设'!$B$27</x:f>
        <x:v>1426613.56131403</x:v>
      </x:c>
      <x:c r="N8" s="34" t="n">
        <x:f>0</x:f>
        <x:v>0</x:v>
      </x:c>
      <x:c r="O8" s="34" t="n">
        <x:f>K8-L8-M8+N8</x:f>
        <x:v>1673386.43868597</x:v>
      </x:c>
      <x:c r="Q8"/>
      <x:c r="R8" s="24"/>
      <x:c r="S8" s="22"/>
    </x:row>
    <x:row r="9" ht="15" hidden="0" customHeight="1">
      <x:c r="A9" s="34" t="str">
        <x:v>核心服务方10年收入</x:v>
      </x:c>
      <x:c r="B9" s="34" t="n">
        <x:f>SUM(K6:K16)+SUM(N6:N16)</x:f>
        <x:v>131000000</x:v>
      </x:c>
      <x:c r="C9" s="34"/>
      <x:c r="D9" s="35" t="n">
        <x:v>4</x:v>
      </x:c>
      <x:c r="E9" s="34" t="n">
        <x:f>'假设'!$B$29</x:f>
        <x:v>15000000</x:v>
      </x:c>
      <x:c r="F9" s="34" t="n">
        <x:f>'假设'!$B$16</x:f>
        <x:v>13100000</x:v>
      </x:c>
      <x:c r="G9" s="34" t="n">
        <x:f>0</x:f>
        <x:v>0</x:v>
      </x:c>
      <x:c r="H9" s="34" t="n">
        <x:f>E9-F9+G9</x:f>
        <x:v>1900000</x:v>
      </x:c>
      <x:c r="I9" s="34"/>
      <x:c r="J9" s="35" t="n">
        <x:v>3</x:v>
      </x:c>
      <x:c r="K9" s="34" t="n">
        <x:f>'假设'!$H$7</x:f>
        <x:v>13100000</x:v>
      </x:c>
      <x:c r="L9" s="34" t="n">
        <x:f>'假设'!$B$11+'假设'!$B$12+'假设'!$B$13</x:f>
        <x:v>10000000</x:v>
      </x:c>
      <x:c r="M9" s="34" t="n">
        <x:f>'假设'!$B$27</x:f>
        <x:v>1426613.56131403</x:v>
      </x:c>
      <x:c r="N9" s="34" t="n">
        <x:f>0</x:f>
        <x:v>0</x:v>
      </x:c>
      <x:c r="O9" s="34" t="n">
        <x:f>K9-L9-M9+N9</x:f>
        <x:v>1673386.43868597</x:v>
      </x:c>
      <x:c r="Q9"/>
      <x:c r="R9" s="24"/>
      <x:c r="S9" s="22"/>
    </x:row>
    <x:row r="10" ht="15" hidden="0" customHeight="1">
      <x:c r="A10" s="34" t="str">
        <x:v>核心服务方10年直接运营成本</x:v>
      </x:c>
      <x:c r="B10" s="34" t="n">
        <x:f>SUM(L6:L16)</x:f>
        <x:v>100000000</x:v>
      </x:c>
      <x:c r="C10" s="34"/>
      <x:c r="D10" s="35" t="n">
        <x:v>5</x:v>
      </x:c>
      <x:c r="E10" s="34" t="n">
        <x:f>'假设'!$B$29</x:f>
        <x:v>15000000</x:v>
      </x:c>
      <x:c r="F10" s="34" t="n">
        <x:f>'假设'!$B$16</x:f>
        <x:v>13100000</x:v>
      </x:c>
      <x:c r="G10" s="34" t="n">
        <x:f>0</x:f>
        <x:v>0</x:v>
      </x:c>
      <x:c r="H10" s="34" t="n">
        <x:f>E10-F10+G10</x:f>
        <x:v>1900000</x:v>
      </x:c>
      <x:c r="I10" s="34"/>
      <x:c r="J10" s="35" t="n">
        <x:v>4</x:v>
      </x:c>
      <x:c r="K10" s="34" t="n">
        <x:f>'假设'!$H$7</x:f>
        <x:v>13100000</x:v>
      </x:c>
      <x:c r="L10" s="34" t="n">
        <x:f>'假设'!$B$11+'假设'!$B$12+'假设'!$B$13</x:f>
        <x:v>10000000</x:v>
      </x:c>
      <x:c r="M10" s="34" t="n">
        <x:f>'假设'!$B$27</x:f>
        <x:v>1426613.56131403</x:v>
      </x:c>
      <x:c r="N10" s="34" t="n">
        <x:f>0</x:f>
        <x:v>0</x:v>
      </x:c>
      <x:c r="O10" s="34" t="n">
        <x:f>K10-L10-M10+N10</x:f>
        <x:v>1673386.43868597</x:v>
      </x:c>
      <x:c r="Q10"/>
      <x:c r="R10" s="24"/>
      <x:c r="S10" s="22"/>
    </x:row>
    <x:row r="11" ht="15" hidden="0" customHeight="1">
      <x:c r="A11" s="34" t="str">
        <x:v>设备商利润</x:v>
      </x:c>
      <x:c r="B11" s="34" t="n">
        <x:f>'假设'!$B$8*'假设'!$B$20*'假设'!$B$21</x:f>
        <x:v>2700000</x:v>
      </x:c>
      <x:c r="C11" s="34"/>
      <x:c r="D11" s="35" t="n">
        <x:v>6</x:v>
      </x:c>
      <x:c r="E11" s="34" t="n">
        <x:f>'假设'!$B$29</x:f>
        <x:v>15000000</x:v>
      </x:c>
      <x:c r="F11" s="34" t="n">
        <x:f>'假设'!$B$16</x:f>
        <x:v>13100000</x:v>
      </x:c>
      <x:c r="G11" s="34" t="n">
        <x:f>0</x:f>
        <x:v>0</x:v>
      </x:c>
      <x:c r="H11" s="34" t="n">
        <x:f>E11-F11+G11</x:f>
        <x:v>1900000</x:v>
      </x:c>
      <x:c r="I11" s="34"/>
      <x:c r="J11" s="35" t="n">
        <x:v>5</x:v>
      </x:c>
      <x:c r="K11" s="34" t="n">
        <x:f>'假设'!$H$7</x:f>
        <x:v>13100000</x:v>
      </x:c>
      <x:c r="L11" s="34" t="n">
        <x:f>'假设'!$B$11+'假设'!$B$12+'假设'!$B$13</x:f>
        <x:v>10000000</x:v>
      </x:c>
      <x:c r="M11" s="34" t="n">
        <x:f>'假设'!$B$27</x:f>
        <x:v>1426613.56131403</x:v>
      </x:c>
      <x:c r="N11" s="34" t="n">
        <x:f>0</x:f>
        <x:v>0</x:v>
      </x:c>
      <x:c r="O11" s="34" t="n">
        <x:f>K11-L11-M11+N11</x:f>
        <x:v>1673386.43868597</x:v>
      </x:c>
      <x:c r="Q11"/>
      <x:c r="R11" s="24"/>
      <x:c r="S11" s="22"/>
    </x:row>
    <x:row r="12" ht="15" hidden="0" customHeight="1">
      <x:c r="A12" s="34" t="str">
        <x:v>EPC利润</x:v>
      </x:c>
      <x:c r="B12" s="34" t="n">
        <x:f>'假设'!$B$8*'假设'!$B$22*'假设'!$B$23</x:f>
        <x:v>600000</x:v>
      </x:c>
      <x:c r="C12" s="34"/>
      <x:c r="D12" s="35" t="n">
        <x:v>7</x:v>
      </x:c>
      <x:c r="E12" s="34" t="n">
        <x:f>'假设'!$B$29</x:f>
        <x:v>15000000</x:v>
      </x:c>
      <x:c r="F12" s="34" t="n">
        <x:f>'假设'!$B$16</x:f>
        <x:v>13100000</x:v>
      </x:c>
      <x:c r="G12" s="34" t="n">
        <x:f>0</x:f>
        <x:v>0</x:v>
      </x:c>
      <x:c r="H12" s="34" t="n">
        <x:f>E12-F12+G12</x:f>
        <x:v>1900000</x:v>
      </x:c>
      <x:c r="I12" s="34"/>
      <x:c r="J12" s="35" t="n">
        <x:v>6</x:v>
      </x:c>
      <x:c r="K12" s="34" t="n">
        <x:f>'假设'!$H$7</x:f>
        <x:v>13100000</x:v>
      </x:c>
      <x:c r="L12" s="34" t="n">
        <x:f>'假设'!$B$11+'假设'!$B$12+'假设'!$B$13</x:f>
        <x:v>10000000</x:v>
      </x:c>
      <x:c r="M12" s="34" t="n">
        <x:f>'假设'!$B$27</x:f>
        <x:v>1426613.56131403</x:v>
      </x:c>
      <x:c r="N12" s="34" t="n">
        <x:f>0</x:f>
        <x:v>0</x:v>
      </x:c>
      <x:c r="O12" s="34" t="n">
        <x:f>K12-L12-M12+N12</x:f>
        <x:v>1673386.43868597</x:v>
      </x:c>
    </x:row>
    <x:row r="13" ht="15" hidden="0" customHeight="1">
      <x:c r="A13" s="34" t="str">
        <x:v>资金方总利息</x:v>
      </x:c>
      <x:c r="B13" s="34" t="n">
        <x:f>'融资摊还'!$D$16</x:f>
        <x:v>3766135.613140302</x:v>
      </x:c>
      <x:c r="C13" s="34"/>
      <x:c r="D13" s="35" t="n">
        <x:v>8</x:v>
      </x:c>
      <x:c r="E13" s="34" t="n">
        <x:f>'假设'!$B$29</x:f>
        <x:v>15000000</x:v>
      </x:c>
      <x:c r="F13" s="34" t="n">
        <x:f>'假设'!$B$16</x:f>
        <x:v>13100000</x:v>
      </x:c>
      <x:c r="G13" s="34" t="n">
        <x:f>0</x:f>
        <x:v>0</x:v>
      </x:c>
      <x:c r="H13" s="34" t="n">
        <x:f>E13-F13+G13</x:f>
        <x:v>1900000</x:v>
      </x:c>
      <x:c r="I13" s="34"/>
      <x:c r="J13" s="35" t="n">
        <x:v>7</x:v>
      </x:c>
      <x:c r="K13" s="34" t="n">
        <x:f>'假设'!$H$7</x:f>
        <x:v>13100000</x:v>
      </x:c>
      <x:c r="L13" s="34" t="n">
        <x:f>'假设'!$B$11+'假设'!$B$12+'假设'!$B$13</x:f>
        <x:v>10000000</x:v>
      </x:c>
      <x:c r="M13" s="34" t="n">
        <x:f>'假设'!$B$27</x:f>
        <x:v>1426613.56131403</x:v>
      </x:c>
      <x:c r="N13" s="34" t="n">
        <x:f>0</x:f>
        <x:v>0</x:v>
      </x:c>
      <x:c r="O13" s="34" t="n">
        <x:f>K13-L13-M13+N13</x:f>
        <x:v>1673386.43868597</x:v>
      </x:c>
    </x:row>
    <x:row r="14" ht="15" hidden="0" customHeight="1">
      <x:c r="A14" s="34" t="str">
        <x:v>资金方净息差</x:v>
      </x:c>
      <x:c r="B14" s="34" t="n">
        <x:f>'融资摊还'!$H$16</x:f>
        <x:v>1569223.1721417918</x:v>
      </x:c>
      <x:c r="C14" s="34"/>
      <x:c r="D14" s="35" t="n">
        <x:v>9</x:v>
      </x:c>
      <x:c r="E14" s="34" t="n">
        <x:f>'假设'!$B$29</x:f>
        <x:v>15000000</x:v>
      </x:c>
      <x:c r="F14" s="34" t="n">
        <x:f>'假设'!$B$16</x:f>
        <x:v>13100000</x:v>
      </x:c>
      <x:c r="G14" s="34" t="n">
        <x:f>0</x:f>
        <x:v>0</x:v>
      </x:c>
      <x:c r="H14" s="34" t="n">
        <x:f>E14-F14+G14</x:f>
        <x:v>1900000</x:v>
      </x:c>
      <x:c r="I14" s="34"/>
      <x:c r="J14" s="35" t="n">
        <x:v>8</x:v>
      </x:c>
      <x:c r="K14" s="34" t="n">
        <x:f>'假设'!$H$7</x:f>
        <x:v>13100000</x:v>
      </x:c>
      <x:c r="L14" s="34" t="n">
        <x:f>'假设'!$B$11+'假设'!$B$12+'假设'!$B$13</x:f>
        <x:v>10000000</x:v>
      </x:c>
      <x:c r="M14" s="34" t="n">
        <x:f>'假设'!$B$27</x:f>
        <x:v>1426613.56131403</x:v>
      </x:c>
      <x:c r="N14" s="34" t="n">
        <x:f>0</x:f>
        <x:v>0</x:v>
      </x:c>
      <x:c r="O14" s="34" t="n">
        <x:f>K14-L14-M14+N14</x:f>
        <x:v>1673386.43868597</x:v>
      </x:c>
    </x:row>
    <x:row r="15" ht="15" hidden="0" customHeight="1">
      <x:c r="A15" s="34"/>
      <x:c r="B15" s="34"/>
      <x:c r="C15" s="34"/>
      <x:c r="D15" s="35" t="n">
        <x:v>10</x:v>
      </x:c>
      <x:c r="E15" s="34" t="n">
        <x:f>'假设'!$B$29</x:f>
        <x:v>15000000</x:v>
      </x:c>
      <x:c r="F15" s="34" t="n">
        <x:f>'假设'!$B$16</x:f>
        <x:v>13100000</x:v>
      </x:c>
      <x:c r="G15" s="34" t="n">
        <x:f>'假设'!$B$24</x:f>
        <x:v>2500000</x:v>
      </x:c>
      <x:c r="H15" s="34" t="n">
        <x:f>E15-F15+G15</x:f>
        <x:v>4400000</x:v>
      </x:c>
      <x:c r="I15" s="34"/>
      <x:c r="J15" s="35" t="n">
        <x:v>9</x:v>
      </x:c>
      <x:c r="K15" s="34" t="n">
        <x:f>'假设'!$H$7</x:f>
        <x:v>13100000</x:v>
      </x:c>
      <x:c r="L15" s="34" t="n">
        <x:f>'假设'!$B$11+'假设'!$B$12+'假设'!$B$13</x:f>
        <x:v>10000000</x:v>
      </x:c>
      <x:c r="M15" s="34" t="n">
        <x:f>'假设'!$B$27</x:f>
        <x:v>1426613.56131403</x:v>
      </x:c>
      <x:c r="N15" s="34" t="n">
        <x:f>0</x:f>
        <x:v>0</x:v>
      </x:c>
      <x:c r="O15" s="34" t="n">
        <x:f>K15-L15-M15+N15</x:f>
        <x:v>1673386.43868597</x:v>
      </x:c>
    </x:row>
    <x:row r="16" ht="15" hidden="0" customHeight="1">
      <x:c r="A16" s="34"/>
      <x:c r="B16" s="34"/>
      <x:c r="C16" s="34"/>
      <x:c r="D16" s="34" t="str">
        <x:v>合计</x:v>
      </x:c>
      <x:c r="E16" s="34" t="n">
        <x:f>SUM(E6:E15)</x:f>
        <x:v>150000000</x:v>
      </x:c>
      <x:c r="F16" s="34" t="n">
        <x:f>SUM(F6:F15)</x:f>
        <x:v>131000000</x:v>
      </x:c>
      <x:c r="G16" s="34" t="n">
        <x:f>SUM(G6:G15)</x:f>
        <x:v>2500000</x:v>
      </x:c>
      <x:c r="H16" s="34" t="n">
        <x:f>SUM(H6:H15)</x:f>
        <x:v>21500000</x:v>
      </x:c>
      <x:c r="I16" s="34"/>
      <x:c r="J16" s="35" t="n">
        <x:v>10</x:v>
      </x:c>
      <x:c r="K16" s="34" t="n">
        <x:f>'假设'!$H$7</x:f>
        <x:v>13100000</x:v>
      </x:c>
      <x:c r="L16" s="34" t="n">
        <x:f>'假设'!$B$11+'假设'!$B$12+'假设'!$B$13</x:f>
        <x:v>10000000</x:v>
      </x:c>
      <x:c r="M16" s="34" t="n">
        <x:f>'假设'!$B$27</x:f>
        <x:v>1426613.56131403</x:v>
      </x:c>
      <x:c r="N16" s="34" t="n">
        <x:f>0</x:f>
        <x:v>0</x:v>
      </x:c>
      <x:c r="O16" s="34" t="n">
        <x:f>K16-L16-M16+N16</x:f>
        <x:v>1673386.43868597</x:v>
      </x:c>
    </x:row>
    <x:row r="17" ht="15" hidden="0" customHeight="1">
      <x:c r="A17" s="34"/>
      <x:c r="B17" s="34"/>
      <x:c r="C17" s="34"/>
      <x:c r="D17" s="33"/>
      <x:c r="E17" s="33"/>
      <x:c r="F17" s="33"/>
      <x:c r="G17" s="33"/>
      <x:c r="H17" s="33"/>
      <x:c r="I17" s="34"/>
      <x:c r="J17" s="33" t="str">
        <x:v>合计</x:v>
      </x:c>
      <x:c r="K17" s="33" t="n">
        <x:f>SUM(K6:K16)</x:f>
        <x:v>131000000</x:v>
      </x:c>
      <x:c r="L17" s="33" t="n">
        <x:f>SUM(L6:L16)</x:f>
        <x:v>100000000</x:v>
      </x:c>
      <x:c r="M17" s="33" t="n">
        <x:f>SUM(M6:M16)</x:f>
        <x:v>14266135.613140298</x:v>
      </x:c>
      <x:c r="N17" s="33" t="n">
        <x:f>SUM(N6:N16)</x:f>
        <x:v>0</x:v>
      </x:c>
      <x:c r="O17" s="33" t="n">
        <x:f>SUM(O6:O16)</x:f>
        <x:v>12233864.3868597</x:v>
      </x:c>
    </x:row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17" max="17" width="18" hidden="0" customWidth="1"/>
    <x:col min="18" max="18" width="18" hidden="0" customWidth="1"/>
    <x:col min="19" max="19" width="3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3" max="3" width="59.709999084472656" hidden="0" customWidth="1"/>
  </x:cols>
  <x:sheetData>
    <x:row r="1" ht="19.53125" hidden="0" customHeight="1">
      <x:c r="A1" s="8" t="str">
        <x:v>LaaS：业主年投入恒定下的参与方收益拆解</x:v>
      </x:c>
      <x:c r="B1" s="8" t="str">
        <x:v>LaaS：10年期参与方收益拆解</x:v>
      </x:c>
      <x:c r="C1" s="8" t="str">
        <x:v>LaaS：10年期参与方收益拆解</x:v>
      </x:c>
      <x:c r="D1" s="8" t="str">
        <x:v>LaaS：10年期参与方收益拆解</x:v>
      </x:c>
      <x:c r="E1" s="8" t="str">
        <x:v>LaaS：10年期参与方收益拆解</x:v>
      </x:c>
      <x:c r="F1" s="8" t="str">
        <x:v>LaaS：10年期参与方收益拆解</x:v>
      </x:c>
      <x:c r="G1" s="8" t="str">
        <x:v>LaaS：10年期参与方收益拆解</x:v>
      </x:c>
      <x:c r="H1" s="8" t="str">
        <x:v>LaaS：10年期参与方收益拆解</x:v>
      </x:c>
    </x:row>
    <x:row r="2" ht="19.53125" hidden="0" customHeight="1">
      <x:c r="A2" s="8" t="str">
        <x:v>LaaS：10年期参与方收益拆解</x:v>
      </x:c>
      <x:c r="B2" s="8" t="str">
        <x:v>LaaS：10年期参与方收益拆解</x:v>
      </x:c>
      <x:c r="C2" s="8" t="str">
        <x:v>LaaS：10年期参与方收益拆解</x:v>
      </x:c>
      <x:c r="D2" s="8" t="str">
        <x:v>LaaS：10年期参与方收益拆解</x:v>
      </x:c>
      <x:c r="E2" s="8" t="str">
        <x:v>LaaS：10年期参与方收益拆解</x:v>
      </x:c>
      <x:c r="F2" s="8" t="str">
        <x:v>LaaS：10年期参与方收益拆解</x:v>
      </x:c>
      <x:c r="G2" s="8" t="str">
        <x:v>LaaS：10年期参与方收益拆解</x:v>
      </x:c>
      <x:c r="H2" s="8" t="str">
        <x:v>LaaS：10年期参与方收益拆解</x:v>
      </x:c>
    </x:row>
    <x:row r="3" ht="15" hidden="0" customHeight="1">
      <x:c r="A3" s="12" t="str">
        <x:v>说明：业主每年总投入固定为同一金额；LaaS下甲方仍自付电费，服务商承担运维与平台成本。第10年残值默认归服务商。</x:v>
      </x:c>
      <x:c r="B3" s="12" t="str">
        <x:v>说明：同一底层项目数据，仅更换合同与支付结构。年10含终值/残值。</x:v>
      </x:c>
      <x:c r="C3" s="12" t="str">
        <x:v>说明：同一底层项目数据，仅更换合同与支付结构。年10含终值/残值。</x:v>
      </x:c>
      <x:c r="D3" s="12" t="str">
        <x:v>说明：同一底层项目数据，仅更换合同与支付结构。年10含终值/残值。</x:v>
      </x:c>
      <x:c r="E3" s="12" t="str">
        <x:v>说明：同一底层项目数据，仅更换合同与支付结构。年10含终值/残值。</x:v>
      </x:c>
      <x:c r="F3" s="12" t="str">
        <x:v>说明：同一底层项目数据，仅更换合同与支付结构。年10含终值/残值。</x:v>
      </x:c>
      <x:c r="G3" s="12" t="str">
        <x:v>说明：同一底层项目数据，仅更换合同与支付结构。年10含终值/残值。</x:v>
      </x:c>
      <x:c r="H3" s="12" t="str">
        <x:v>说明：同一底层项目数据，仅更换合同与支付结构。年10含终值/残值。</x:v>
      </x:c>
    </x:row>
    <x:row r="4"/>
    <x:row r="5" ht="15" hidden="0" customHeight="1">
      <x:c r="A5" s="33" t="str">
        <x:v>指标</x:v>
      </x:c>
      <x:c r="B5" s="33" t="str">
        <x:v>数值</x:v>
      </x:c>
      <x:c r="C5" s="34"/>
      <x:c r="D5" s="33" t="str">
        <x:v>年份</x:v>
      </x:c>
      <x:c r="E5" s="33" t="str">
        <x:v>基线成本</x:v>
      </x:c>
      <x:c r="F5" s="33" t="str">
        <x:v>甲方实际流出</x:v>
      </x:c>
      <x:c r="G5" s="33" t="str">
        <x:v>归甲方终值</x:v>
      </x:c>
      <x:c r="H5" s="33" t="str">
        <x:v>甲方增量收益</x:v>
      </x:c>
      <x:c r="I5" s="34"/>
      <x:c r="J5" s="33" t="str">
        <x:v>年份</x:v>
      </x:c>
      <x:c r="K5" s="33" t="str">
        <x:v>收入</x:v>
      </x:c>
      <x:c r="L5" s="33" t="str">
        <x:v>直接运营成本</x:v>
      </x:c>
      <x:c r="M5" s="33" t="str">
        <x:v>债务偿付</x:v>
      </x:c>
      <x:c r="N5" s="33" t="str">
        <x:v>残值归服务方</x:v>
      </x:c>
      <x:c r="O5" s="33" t="str">
        <x:v>股权现金流</x:v>
      </x:c>
      <x:c r="Q5" s="20"/>
      <x:c r="R5" s="20"/>
      <x:c r="S5" s="20"/>
    </x:row>
    <x:row r="6" ht="15" hidden="0" customHeight="1">
      <x:c r="A6" s="34" t="str">
        <x:v>业主年总投入（恒定）</x:v>
      </x:c>
      <x:c r="B6" s="34" t="n">
        <x:f>'假设'!$B$16</x:f>
        <x:v>13100000</x:v>
      </x:c>
      <x:c r="C6" s="34"/>
      <x:c r="D6" s="35" t="n">
        <x:v>1</x:v>
      </x:c>
      <x:c r="E6" s="34" t="n">
        <x:f>'假设'!$B$29</x:f>
        <x:v>15000000</x:v>
      </x:c>
      <x:c r="F6" s="34" t="n">
        <x:f>'假设'!$B$16</x:f>
        <x:v>13100000</x:v>
      </x:c>
      <x:c r="G6" s="34" t="n">
        <x:f>0</x:f>
        <x:v>0</x:v>
      </x:c>
      <x:c r="H6" s="34" t="n">
        <x:f>E6-F6+G6</x:f>
        <x:v>1900000</x:v>
      </x:c>
      <x:c r="I6" s="34"/>
      <x:c r="J6" s="35" t="n">
        <x:v>0</x:v>
      </x:c>
      <x:c r="K6" s="34" t="n">
        <x:f>0</x:f>
        <x:v>0</x:v>
      </x:c>
      <x:c r="L6" s="34" t="n">
        <x:f>0</x:f>
        <x:v>0</x:v>
      </x:c>
      <x:c r="M6" s="34" t="n">
        <x:f>0</x:f>
        <x:v>0</x:v>
      </x:c>
      <x:c r="N6" s="34" t="n">
        <x:f>0</x:f>
        <x:v>0</x:v>
      </x:c>
      <x:c r="O6" s="34" t="n">
        <x:f>-'假设'!$B$26</x:f>
        <x:v>-4500000</x:v>
      </x:c>
      <x:c r="Q6"/>
      <x:c r="R6" s="24"/>
      <x:c r="S6" s="22"/>
    </x:row>
    <x:row r="7" ht="15" hidden="0" customHeight="1">
      <x:c r="A7" s="34" t="str">
        <x:v>甲方10年净收益</x:v>
      </x:c>
      <x:c r="B7" s="34" t="n">
        <x:f>'假设'!$B$30-B6*'假设'!$B$6+0</x:f>
        <x:v>19000000</x:v>
      </x:c>
      <x:c r="C7" s="34"/>
      <x:c r="D7" s="35" t="n">
        <x:v>2</x:v>
      </x:c>
      <x:c r="E7" s="34" t="n">
        <x:f>'假设'!$B$29</x:f>
        <x:v>15000000</x:v>
      </x:c>
      <x:c r="F7" s="34" t="n">
        <x:f>'假设'!$B$16</x:f>
        <x:v>13100000</x:v>
      </x:c>
      <x:c r="G7" s="34" t="n">
        <x:f>0</x:f>
        <x:v>0</x:v>
      </x:c>
      <x:c r="H7" s="34" t="n">
        <x:f>E7-F7+G7</x:f>
        <x:v>1900000</x:v>
      </x:c>
      <x:c r="I7" s="34"/>
      <x:c r="J7" s="35" t="n">
        <x:v>1</x:v>
      </x:c>
      <x:c r="K7" s="34" t="n">
        <x:f>'假设'!$H$8</x:f>
        <x:v>5900000</x:v>
      </x:c>
      <x:c r="L7" s="34" t="n">
        <x:f>'假设'!$B$12+'假设'!$B$13</x:f>
        <x:v>2800000</x:v>
      </x:c>
      <x:c r="M7" s="34" t="n">
        <x:f>'假设'!$B$27</x:f>
        <x:v>1426613.56131403</x:v>
      </x:c>
      <x:c r="N7" s="34" t="n">
        <x:f>0</x:f>
        <x:v>0</x:v>
      </x:c>
      <x:c r="O7" s="34" t="n">
        <x:f>K7-L7-M7+N7</x:f>
        <x:v>1673386.43868597</x:v>
      </x:c>
      <x:c r="Q7"/>
      <x:c r="R7" s="24"/>
      <x:c r="S7" s="22"/>
    </x:row>
    <x:row r="8" ht="15" hidden="0" customHeight="1">
      <x:c r="A8" s="34" t="str">
        <x:v>核心服务方10年净现金</x:v>
      </x:c>
      <x:c r="B8" s="34" t="n">
        <x:f>SUM(O6:O16)</x:f>
        <x:v>14733864.3868597</x:v>
      </x:c>
      <x:c r="C8" s="34"/>
      <x:c r="D8" s="35" t="n">
        <x:v>3</x:v>
      </x:c>
      <x:c r="E8" s="34" t="n">
        <x:f>'假设'!$B$29</x:f>
        <x:v>15000000</x:v>
      </x:c>
      <x:c r="F8" s="34" t="n">
        <x:f>'假设'!$B$16</x:f>
        <x:v>13100000</x:v>
      </x:c>
      <x:c r="G8" s="34" t="n">
        <x:f>0</x:f>
        <x:v>0</x:v>
      </x:c>
      <x:c r="H8" s="34" t="n">
        <x:f>E8-F8+G8</x:f>
        <x:v>1900000</x:v>
      </x:c>
      <x:c r="I8" s="34"/>
      <x:c r="J8" s="35" t="n">
        <x:v>2</x:v>
      </x:c>
      <x:c r="K8" s="34" t="n">
        <x:f>'假设'!$H$8</x:f>
        <x:v>5900000</x:v>
      </x:c>
      <x:c r="L8" s="34" t="n">
        <x:f>'假设'!$B$12+'假设'!$B$13</x:f>
        <x:v>2800000</x:v>
      </x:c>
      <x:c r="M8" s="34" t="n">
        <x:f>'假设'!$B$27</x:f>
        <x:v>1426613.56131403</x:v>
      </x:c>
      <x:c r="N8" s="34" t="n">
        <x:f>0</x:f>
        <x:v>0</x:v>
      </x:c>
      <x:c r="O8" s="34" t="n">
        <x:f>K8-L8-M8+N8</x:f>
        <x:v>1673386.43868597</x:v>
      </x:c>
      <x:c r="Q8"/>
      <x:c r="R8" s="24"/>
      <x:c r="S8" s="22"/>
    </x:row>
    <x:row r="9" ht="15" hidden="0" customHeight="1">
      <x:c r="A9" s="34" t="str">
        <x:v>核心服务方10年收入</x:v>
      </x:c>
      <x:c r="B9" s="34" t="n">
        <x:f>SUM(K6:K16)+SUM(N6:N16)</x:f>
        <x:v>61500000</x:v>
      </x:c>
      <x:c r="C9" s="34"/>
      <x:c r="D9" s="35" t="n">
        <x:v>4</x:v>
      </x:c>
      <x:c r="E9" s="34" t="n">
        <x:f>'假设'!$B$29</x:f>
        <x:v>15000000</x:v>
      </x:c>
      <x:c r="F9" s="34" t="n">
        <x:f>'假设'!$B$16</x:f>
        <x:v>13100000</x:v>
      </x:c>
      <x:c r="G9" s="34" t="n">
        <x:f>0</x:f>
        <x:v>0</x:v>
      </x:c>
      <x:c r="H9" s="34" t="n">
        <x:f>E9-F9+G9</x:f>
        <x:v>1900000</x:v>
      </x:c>
      <x:c r="I9" s="34"/>
      <x:c r="J9" s="35" t="n">
        <x:v>3</x:v>
      </x:c>
      <x:c r="K9" s="34" t="n">
        <x:f>'假设'!$H$8</x:f>
        <x:v>5900000</x:v>
      </x:c>
      <x:c r="L9" s="34" t="n">
        <x:f>'假设'!$B$12+'假设'!$B$13</x:f>
        <x:v>2800000</x:v>
      </x:c>
      <x:c r="M9" s="34" t="n">
        <x:f>'假设'!$B$27</x:f>
        <x:v>1426613.56131403</x:v>
      </x:c>
      <x:c r="N9" s="34" t="n">
        <x:f>0</x:f>
        <x:v>0</x:v>
      </x:c>
      <x:c r="O9" s="34" t="n">
        <x:f>K9-L9-M9+N9</x:f>
        <x:v>1673386.43868597</x:v>
      </x:c>
      <x:c r="Q9"/>
      <x:c r="R9" s="24"/>
      <x:c r="S9" s="22"/>
    </x:row>
    <x:row r="10" ht="15" hidden="0" customHeight="1">
      <x:c r="A10" s="34" t="str">
        <x:v>核心服务方10年直接运营成本</x:v>
      </x:c>
      <x:c r="B10" s="34" t="n">
        <x:f>SUM(L6:L16)</x:f>
        <x:v>28000000</x:v>
      </x:c>
      <x:c r="C10" s="34"/>
      <x:c r="D10" s="35" t="n">
        <x:v>5</x:v>
      </x:c>
      <x:c r="E10" s="34" t="n">
        <x:f>'假设'!$B$29</x:f>
        <x:v>15000000</x:v>
      </x:c>
      <x:c r="F10" s="34" t="n">
        <x:f>'假设'!$B$16</x:f>
        <x:v>13100000</x:v>
      </x:c>
      <x:c r="G10" s="34" t="n">
        <x:f>0</x:f>
        <x:v>0</x:v>
      </x:c>
      <x:c r="H10" s="34" t="n">
        <x:f>E10-F10+G10</x:f>
        <x:v>1900000</x:v>
      </x:c>
      <x:c r="I10" s="34"/>
      <x:c r="J10" s="35" t="n">
        <x:v>4</x:v>
      </x:c>
      <x:c r="K10" s="34" t="n">
        <x:f>'假设'!$H$8</x:f>
        <x:v>5900000</x:v>
      </x:c>
      <x:c r="L10" s="34" t="n">
        <x:f>'假设'!$B$12+'假设'!$B$13</x:f>
        <x:v>2800000</x:v>
      </x:c>
      <x:c r="M10" s="34" t="n">
        <x:f>'假设'!$B$27</x:f>
        <x:v>1426613.56131403</x:v>
      </x:c>
      <x:c r="N10" s="34" t="n">
        <x:f>0</x:f>
        <x:v>0</x:v>
      </x:c>
      <x:c r="O10" s="34" t="n">
        <x:f>K10-L10-M10+N10</x:f>
        <x:v>1673386.43868597</x:v>
      </x:c>
      <x:c r="Q10"/>
      <x:c r="R10" s="24"/>
      <x:c r="S10" s="22"/>
    </x:row>
    <x:row r="11" ht="15" hidden="0" customHeight="1">
      <x:c r="A11" s="34" t="str">
        <x:v>设备商利润</x:v>
      </x:c>
      <x:c r="B11" s="34" t="n">
        <x:f>'假设'!$B$8*'假设'!$B$20*'假设'!$B$21</x:f>
        <x:v>2700000</x:v>
      </x:c>
      <x:c r="C11" s="34"/>
      <x:c r="D11" s="35" t="n">
        <x:v>6</x:v>
      </x:c>
      <x:c r="E11" s="34" t="n">
        <x:f>'假设'!$B$29</x:f>
        <x:v>15000000</x:v>
      </x:c>
      <x:c r="F11" s="34" t="n">
        <x:f>'假设'!$B$16</x:f>
        <x:v>13100000</x:v>
      </x:c>
      <x:c r="G11" s="34" t="n">
        <x:f>0</x:f>
        <x:v>0</x:v>
      </x:c>
      <x:c r="H11" s="34" t="n">
        <x:f>E11-F11+G11</x:f>
        <x:v>1900000</x:v>
      </x:c>
      <x:c r="I11" s="34"/>
      <x:c r="J11" s="35" t="n">
        <x:v>5</x:v>
      </x:c>
      <x:c r="K11" s="34" t="n">
        <x:f>'假设'!$H$8</x:f>
        <x:v>5900000</x:v>
      </x:c>
      <x:c r="L11" s="34" t="n">
        <x:f>'假设'!$B$12+'假设'!$B$13</x:f>
        <x:v>2800000</x:v>
      </x:c>
      <x:c r="M11" s="34" t="n">
        <x:f>'假设'!$B$27</x:f>
        <x:v>1426613.56131403</x:v>
      </x:c>
      <x:c r="N11" s="34" t="n">
        <x:f>0</x:f>
        <x:v>0</x:v>
      </x:c>
      <x:c r="O11" s="34" t="n">
        <x:f>K11-L11-M11+N11</x:f>
        <x:v>1673386.43868597</x:v>
      </x:c>
      <x:c r="Q11"/>
      <x:c r="R11" s="24"/>
      <x:c r="S11" s="22"/>
    </x:row>
    <x:row r="12" ht="15" hidden="0" customHeight="1">
      <x:c r="A12" s="34" t="str">
        <x:v>EPC利润</x:v>
      </x:c>
      <x:c r="B12" s="34" t="n">
        <x:f>'假设'!$B$8*'假设'!$B$22*'假设'!$B$23</x:f>
        <x:v>600000</x:v>
      </x:c>
      <x:c r="C12" s="34"/>
      <x:c r="D12" s="35" t="n">
        <x:v>7</x:v>
      </x:c>
      <x:c r="E12" s="34" t="n">
        <x:f>'假设'!$B$29</x:f>
        <x:v>15000000</x:v>
      </x:c>
      <x:c r="F12" s="34" t="n">
        <x:f>'假设'!$B$16</x:f>
        <x:v>13100000</x:v>
      </x:c>
      <x:c r="G12" s="34" t="n">
        <x:f>0</x:f>
        <x:v>0</x:v>
      </x:c>
      <x:c r="H12" s="34" t="n">
        <x:f>E12-F12+G12</x:f>
        <x:v>1900000</x:v>
      </x:c>
      <x:c r="I12" s="34"/>
      <x:c r="J12" s="35" t="n">
        <x:v>6</x:v>
      </x:c>
      <x:c r="K12" s="34" t="n">
        <x:f>'假设'!$H$8</x:f>
        <x:v>5900000</x:v>
      </x:c>
      <x:c r="L12" s="34" t="n">
        <x:f>'假设'!$B$12+'假设'!$B$13</x:f>
        <x:v>2800000</x:v>
      </x:c>
      <x:c r="M12" s="34" t="n">
        <x:f>'假设'!$B$27</x:f>
        <x:v>1426613.56131403</x:v>
      </x:c>
      <x:c r="N12" s="34" t="n">
        <x:f>0</x:f>
        <x:v>0</x:v>
      </x:c>
      <x:c r="O12" s="34" t="n">
        <x:f>K12-L12-M12+N12</x:f>
        <x:v>1673386.43868597</x:v>
      </x:c>
    </x:row>
    <x:row r="13" ht="15" hidden="0" customHeight="1">
      <x:c r="A13" s="34" t="str">
        <x:v>资金方总利息</x:v>
      </x:c>
      <x:c r="B13" s="34" t="n">
        <x:f>'融资摊还'!$D$16</x:f>
        <x:v>3766135.613140302</x:v>
      </x:c>
      <x:c r="C13" s="34"/>
      <x:c r="D13" s="35" t="n">
        <x:v>8</x:v>
      </x:c>
      <x:c r="E13" s="34" t="n">
        <x:f>'假设'!$B$29</x:f>
        <x:v>15000000</x:v>
      </x:c>
      <x:c r="F13" s="34" t="n">
        <x:f>'假设'!$B$16</x:f>
        <x:v>13100000</x:v>
      </x:c>
      <x:c r="G13" s="34" t="n">
        <x:f>0</x:f>
        <x:v>0</x:v>
      </x:c>
      <x:c r="H13" s="34" t="n">
        <x:f>E13-F13+G13</x:f>
        <x:v>1900000</x:v>
      </x:c>
      <x:c r="I13" s="34"/>
      <x:c r="J13" s="35" t="n">
        <x:v>7</x:v>
      </x:c>
      <x:c r="K13" s="34" t="n">
        <x:f>'假设'!$H$8</x:f>
        <x:v>5900000</x:v>
      </x:c>
      <x:c r="L13" s="34" t="n">
        <x:f>'假设'!$B$12+'假设'!$B$13</x:f>
        <x:v>2800000</x:v>
      </x:c>
      <x:c r="M13" s="34" t="n">
        <x:f>'假设'!$B$27</x:f>
        <x:v>1426613.56131403</x:v>
      </x:c>
      <x:c r="N13" s="34" t="n">
        <x:f>0</x:f>
        <x:v>0</x:v>
      </x:c>
      <x:c r="O13" s="34" t="n">
        <x:f>K13-L13-M13+N13</x:f>
        <x:v>1673386.43868597</x:v>
      </x:c>
    </x:row>
    <x:row r="14" ht="15" hidden="0" customHeight="1">
      <x:c r="A14" s="34" t="str">
        <x:v>资金方净息差</x:v>
      </x:c>
      <x:c r="B14" s="34" t="n">
        <x:f>'融资摊还'!$H$16</x:f>
        <x:v>1569223.1721417918</x:v>
      </x:c>
      <x:c r="C14" s="34"/>
      <x:c r="D14" s="35" t="n">
        <x:v>9</x:v>
      </x:c>
      <x:c r="E14" s="34" t="n">
        <x:f>'假设'!$B$29</x:f>
        <x:v>15000000</x:v>
      </x:c>
      <x:c r="F14" s="34" t="n">
        <x:f>'假设'!$B$16</x:f>
        <x:v>13100000</x:v>
      </x:c>
      <x:c r="G14" s="34" t="n">
        <x:f>0</x:f>
        <x:v>0</x:v>
      </x:c>
      <x:c r="H14" s="34" t="n">
        <x:f>E14-F14+G14</x:f>
        <x:v>1900000</x:v>
      </x:c>
      <x:c r="I14" s="34"/>
      <x:c r="J14" s="35" t="n">
        <x:v>8</x:v>
      </x:c>
      <x:c r="K14" s="34" t="n">
        <x:f>'假设'!$H$8</x:f>
        <x:v>5900000</x:v>
      </x:c>
      <x:c r="L14" s="34" t="n">
        <x:f>'假设'!$B$12+'假设'!$B$13</x:f>
        <x:v>2800000</x:v>
      </x:c>
      <x:c r="M14" s="34" t="n">
        <x:f>'假设'!$B$27</x:f>
        <x:v>1426613.56131403</x:v>
      </x:c>
      <x:c r="N14" s="34" t="n">
        <x:f>0</x:f>
        <x:v>0</x:v>
      </x:c>
      <x:c r="O14" s="34" t="n">
        <x:f>K14-L14-M14+N14</x:f>
        <x:v>1673386.43868597</x:v>
      </x:c>
    </x:row>
    <x:row r="15" ht="15" hidden="0" customHeight="1">
      <x:c r="A15" s="34"/>
      <x:c r="B15" s="34"/>
      <x:c r="C15" s="34"/>
      <x:c r="D15" s="35" t="n">
        <x:v>10</x:v>
      </x:c>
      <x:c r="E15" s="34" t="n">
        <x:f>'假设'!$B$29</x:f>
        <x:v>15000000</x:v>
      </x:c>
      <x:c r="F15" s="34" t="n">
        <x:f>'假设'!$B$16</x:f>
        <x:v>13100000</x:v>
      </x:c>
      <x:c r="G15" s="34" t="n">
        <x:f>0</x:f>
        <x:v>0</x:v>
      </x:c>
      <x:c r="H15" s="34" t="n">
        <x:f>E15-F15+G15</x:f>
        <x:v>1900000</x:v>
      </x:c>
      <x:c r="I15" s="34"/>
      <x:c r="J15" s="35" t="n">
        <x:v>9</x:v>
      </x:c>
      <x:c r="K15" s="34" t="n">
        <x:f>'假设'!$H$8</x:f>
        <x:v>5900000</x:v>
      </x:c>
      <x:c r="L15" s="34" t="n">
        <x:f>'假设'!$B$12+'假设'!$B$13</x:f>
        <x:v>2800000</x:v>
      </x:c>
      <x:c r="M15" s="34" t="n">
        <x:f>'假设'!$B$27</x:f>
        <x:v>1426613.56131403</x:v>
      </x:c>
      <x:c r="N15" s="34" t="n">
        <x:f>0</x:f>
        <x:v>0</x:v>
      </x:c>
      <x:c r="O15" s="34" t="n">
        <x:f>K15-L15-M15+N15</x:f>
        <x:v>1673386.43868597</x:v>
      </x:c>
    </x:row>
    <x:row r="16" ht="15" hidden="0" customHeight="1">
      <x:c r="A16" s="34"/>
      <x:c r="B16" s="34"/>
      <x:c r="C16" s="34"/>
      <x:c r="D16" s="34" t="str">
        <x:v>合计</x:v>
      </x:c>
      <x:c r="E16" s="34" t="n">
        <x:f>SUM(E6:E15)</x:f>
        <x:v>150000000</x:v>
      </x:c>
      <x:c r="F16" s="34" t="n">
        <x:f>SUM(F6:F15)</x:f>
        <x:v>131000000</x:v>
      </x:c>
      <x:c r="G16" s="34" t="n">
        <x:f>SUM(G6:G15)</x:f>
        <x:v>0</x:v>
      </x:c>
      <x:c r="H16" s="34" t="n">
        <x:f>SUM(H6:H15)</x:f>
        <x:v>19000000</x:v>
      </x:c>
      <x:c r="I16" s="34"/>
      <x:c r="J16" s="35" t="n">
        <x:v>10</x:v>
      </x:c>
      <x:c r="K16" s="34" t="n">
        <x:f>'假设'!$H$8</x:f>
        <x:v>5900000</x:v>
      </x:c>
      <x:c r="L16" s="34" t="n">
        <x:f>'假设'!$B$12+'假设'!$B$13</x:f>
        <x:v>2800000</x:v>
      </x:c>
      <x:c r="M16" s="34" t="n">
        <x:f>'假设'!$B$27</x:f>
        <x:v>1426613.56131403</x:v>
      </x:c>
      <x:c r="N16" s="34" t="n">
        <x:f>'假设'!$B$24</x:f>
        <x:v>2500000</x:v>
      </x:c>
      <x:c r="O16" s="34" t="n">
        <x:f>K16-L16-M16+N16</x:f>
        <x:v>4173386.43868597</x:v>
      </x:c>
    </x:row>
    <x:row r="17" ht="15" hidden="0" customHeight="1">
      <x:c r="A17" s="34"/>
      <x:c r="B17" s="34"/>
      <x:c r="C17" s="34"/>
      <x:c r="D17" s="33"/>
      <x:c r="E17" s="33"/>
      <x:c r="F17" s="33"/>
      <x:c r="G17" s="33"/>
      <x:c r="H17" s="33"/>
      <x:c r="I17" s="34"/>
      <x:c r="J17" s="33" t="str">
        <x:v>合计</x:v>
      </x:c>
      <x:c r="K17" s="33" t="n">
        <x:f>SUM(K6:K16)</x:f>
        <x:v>59000000</x:v>
      </x:c>
      <x:c r="L17" s="33" t="n">
        <x:f>SUM(L6:L16)</x:f>
        <x:v>28000000</x:v>
      </x:c>
      <x:c r="M17" s="33" t="n">
        <x:f>SUM(M6:M16)</x:f>
        <x:v>14266135.613140298</x:v>
      </x:c>
      <x:c r="N17" s="33" t="n">
        <x:f>SUM(N6:N16)</x:f>
        <x:v>2500000</x:v>
      </x:c>
      <x:c r="O17" s="33" t="n">
        <x:f>SUM(O6:O16)</x:f>
        <x:v>14733864.3868597</x:v>
      </x:c>
    </x:row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17" max="17" width="18" hidden="0" customWidth="1"/>
    <x:col min="18" max="18" width="18" hidden="0" customWidth="1"/>
    <x:col min="19" max="19" width="3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3" max="3" width="59.709999084472656" hidden="0" customWidth="1"/>
  </x:cols>
  <x:sheetData>
    <x:row r="1" ht="19.53125" hidden="0" customHeight="1">
      <x:c r="A1" s="8" t="str">
        <x:v>租赁：业主年投入恒定下的参与方收益拆解</x:v>
      </x:c>
      <x:c r="B1" s="8" t="str">
        <x:v>租赁：10年期参与方收益拆解</x:v>
      </x:c>
      <x:c r="C1" s="8" t="str">
        <x:v>租赁：10年期参与方收益拆解</x:v>
      </x:c>
      <x:c r="D1" s="8" t="str">
        <x:v>租赁：10年期参与方收益拆解</x:v>
      </x:c>
      <x:c r="E1" s="8" t="str">
        <x:v>租赁：10年期参与方收益拆解</x:v>
      </x:c>
      <x:c r="F1" s="8" t="str">
        <x:v>租赁：10年期参与方收益拆解</x:v>
      </x:c>
      <x:c r="G1" s="8" t="str">
        <x:v>租赁：10年期参与方收益拆解</x:v>
      </x:c>
      <x:c r="H1" s="8" t="str">
        <x:v>租赁：10年期参与方收益拆解</x:v>
      </x:c>
    </x:row>
    <x:row r="2" ht="19.53125" hidden="0" customHeight="1">
      <x:c r="A2" s="8" t="str">
        <x:v>租赁：10年期参与方收益拆解</x:v>
      </x:c>
      <x:c r="B2" s="8" t="str">
        <x:v>租赁：10年期参与方收益拆解</x:v>
      </x:c>
      <x:c r="C2" s="8" t="str">
        <x:v>租赁：10年期参与方收益拆解</x:v>
      </x:c>
      <x:c r="D2" s="8" t="str">
        <x:v>租赁：10年期参与方收益拆解</x:v>
      </x:c>
      <x:c r="E2" s="8" t="str">
        <x:v>租赁：10年期参与方收益拆解</x:v>
      </x:c>
      <x:c r="F2" s="8" t="str">
        <x:v>租赁：10年期参与方收益拆解</x:v>
      </x:c>
      <x:c r="G2" s="8" t="str">
        <x:v>租赁：10年期参与方收益拆解</x:v>
      </x:c>
      <x:c r="H2" s="8" t="str">
        <x:v>租赁：10年期参与方收益拆解</x:v>
      </x:c>
    </x:row>
    <x:row r="3" ht="15" hidden="0" customHeight="1">
      <x:c r="A3" s="12" t="str">
        <x:v>说明：业主每年总投入固定为同一金额；租赁下甲方自付电费与运维，租金由剩余空间决定。第10年终值归甲方。</x:v>
      </x:c>
      <x:c r="B3" s="12" t="str">
        <x:v>说明：同一底层项目数据，仅更换合同与支付结构。年10含终值/残值。</x:v>
      </x:c>
      <x:c r="C3" s="12" t="str">
        <x:v>说明：同一底层项目数据，仅更换合同与支付结构。年10含终值/残值。</x:v>
      </x:c>
      <x:c r="D3" s="12" t="str">
        <x:v>说明：同一底层项目数据，仅更换合同与支付结构。年10含终值/残值。</x:v>
      </x:c>
      <x:c r="E3" s="12" t="str">
        <x:v>说明：同一底层项目数据，仅更换合同与支付结构。年10含终值/残值。</x:v>
      </x:c>
      <x:c r="F3" s="12" t="str">
        <x:v>说明：同一底层项目数据，仅更换合同与支付结构。年10含终值/残值。</x:v>
      </x:c>
      <x:c r="G3" s="12" t="str">
        <x:v>说明：同一底层项目数据，仅更换合同与支付结构。年10含终值/残值。</x:v>
      </x:c>
      <x:c r="H3" s="12" t="str">
        <x:v>说明：同一底层项目数据，仅更换合同与支付结构。年10含终值/残值。</x:v>
      </x:c>
    </x:row>
    <x:row r="4"/>
    <x:row r="5" ht="15" hidden="0" customHeight="1">
      <x:c r="A5" s="33" t="str">
        <x:v>指标</x:v>
      </x:c>
      <x:c r="B5" s="33" t="str">
        <x:v>数值</x:v>
      </x:c>
      <x:c r="C5" s="34"/>
      <x:c r="D5" s="33" t="str">
        <x:v>年份</x:v>
      </x:c>
      <x:c r="E5" s="33" t="str">
        <x:v>基线成本</x:v>
      </x:c>
      <x:c r="F5" s="33" t="str">
        <x:v>甲方实际流出</x:v>
      </x:c>
      <x:c r="G5" s="33" t="str">
        <x:v>归甲方终值</x:v>
      </x:c>
      <x:c r="H5" s="33" t="str">
        <x:v>甲方增量收益</x:v>
      </x:c>
      <x:c r="I5" s="34"/>
      <x:c r="J5" s="33" t="str">
        <x:v>年份</x:v>
      </x:c>
      <x:c r="K5" s="33" t="str">
        <x:v>收入</x:v>
      </x:c>
      <x:c r="L5" s="33" t="str">
        <x:v>直接运营成本</x:v>
      </x:c>
      <x:c r="M5" s="33" t="str">
        <x:v>债务偿付</x:v>
      </x:c>
      <x:c r="N5" s="33" t="str">
        <x:v>残值归服务方</x:v>
      </x:c>
      <x:c r="O5" s="33" t="str">
        <x:v>股权现金流</x:v>
      </x:c>
      <x:c r="Q5" s="20"/>
      <x:c r="R5" s="20"/>
      <x:c r="S5" s="20"/>
    </x:row>
    <x:row r="6" ht="15" hidden="0" customHeight="1">
      <x:c r="A6" s="34" t="str">
        <x:v>业主年总投入（恒定）</x:v>
      </x:c>
      <x:c r="B6" s="34" t="n">
        <x:f>'假设'!$B$16</x:f>
        <x:v>13100000</x:v>
      </x:c>
      <x:c r="C6" s="34"/>
      <x:c r="D6" s="35" t="n">
        <x:v>1</x:v>
      </x:c>
      <x:c r="E6" s="34" t="n">
        <x:f>'假设'!$B$29</x:f>
        <x:v>15000000</x:v>
      </x:c>
      <x:c r="F6" s="34" t="n">
        <x:f>'假设'!$B$16</x:f>
        <x:v>13100000</x:v>
      </x:c>
      <x:c r="G6" s="34" t="n">
        <x:f>0</x:f>
        <x:v>0</x:v>
      </x:c>
      <x:c r="H6" s="34" t="n">
        <x:f>E6-F6+G6</x:f>
        <x:v>1900000</x:v>
      </x:c>
      <x:c r="I6" s="34"/>
      <x:c r="J6" s="35" t="n">
        <x:v>0</x:v>
      </x:c>
      <x:c r="K6" s="34" t="n">
        <x:f>0</x:f>
        <x:v>0</x:v>
      </x:c>
      <x:c r="L6" s="34" t="n">
        <x:f>0</x:f>
        <x:v>0</x:v>
      </x:c>
      <x:c r="M6" s="34" t="n">
        <x:f>0</x:f>
        <x:v>0</x:v>
      </x:c>
      <x:c r="N6" s="34" t="n">
        <x:f>0</x:f>
        <x:v>0</x:v>
      </x:c>
      <x:c r="O6" s="34" t="n">
        <x:f>-'假设'!$B$26</x:f>
        <x:v>-4500000</x:v>
      </x:c>
      <x:c r="Q6"/>
      <x:c r="R6" s="24"/>
      <x:c r="S6" s="22"/>
    </x:row>
    <x:row r="7" ht="15" hidden="0" customHeight="1">
      <x:c r="A7" s="34" t="str">
        <x:v>甲方10年净收益</x:v>
      </x:c>
      <x:c r="B7" s="34" t="n">
        <x:f>'假设'!$B$30-B6*'假设'!$B$6+='假设'!$B$24</x:f>
        <x:v>21500000</x:v>
      </x:c>
      <x:c r="C7" s="34"/>
      <x:c r="D7" s="35" t="n">
        <x:v>2</x:v>
      </x:c>
      <x:c r="E7" s="34" t="n">
        <x:f>'假设'!$B$29</x:f>
        <x:v>15000000</x:v>
      </x:c>
      <x:c r="F7" s="34" t="n">
        <x:f>'假设'!$B$16</x:f>
        <x:v>13100000</x:v>
      </x:c>
      <x:c r="G7" s="34" t="n">
        <x:f>0</x:f>
        <x:v>0</x:v>
      </x:c>
      <x:c r="H7" s="34" t="n">
        <x:f>E7-F7+G7</x:f>
        <x:v>1900000</x:v>
      </x:c>
      <x:c r="I7" s="34"/>
      <x:c r="J7" s="35" t="n">
        <x:v>1</x:v>
      </x:c>
      <x:c r="K7" s="34" t="n">
        <x:f>'假设'!$H$9</x:f>
        <x:v>3500000</x:v>
      </x:c>
      <x:c r="L7" s="34" t="n">
        <x:f>'假设'!$B$15</x:f>
        <x:v>200000</x:v>
      </x:c>
      <x:c r="M7" s="34" t="n">
        <x:f>'假设'!$B$27</x:f>
        <x:v>1426613.56131403</x:v>
      </x:c>
      <x:c r="N7" s="34" t="n">
        <x:f>0</x:f>
        <x:v>0</x:v>
      </x:c>
      <x:c r="O7" s="34" t="n">
        <x:f>K7-L7-M7+N7</x:f>
        <x:v>1873386.43868597</x:v>
      </x:c>
      <x:c r="Q7"/>
      <x:c r="R7" s="24"/>
      <x:c r="S7" s="22"/>
    </x:row>
    <x:row r="8" ht="15" hidden="0" customHeight="1">
      <x:c r="A8" s="34" t="str">
        <x:v>核心服务方10年净现金</x:v>
      </x:c>
      <x:c r="B8" s="34" t="n">
        <x:f>SUM(O6:O16)</x:f>
        <x:v>14233864.386859702</x:v>
      </x:c>
      <x:c r="C8" s="34"/>
      <x:c r="D8" s="35" t="n">
        <x:v>3</x:v>
      </x:c>
      <x:c r="E8" s="34" t="n">
        <x:f>'假设'!$B$29</x:f>
        <x:v>15000000</x:v>
      </x:c>
      <x:c r="F8" s="34" t="n">
        <x:f>'假设'!$B$16</x:f>
        <x:v>13100000</x:v>
      </x:c>
      <x:c r="G8" s="34" t="n">
        <x:f>0</x:f>
        <x:v>0</x:v>
      </x:c>
      <x:c r="H8" s="34" t="n">
        <x:f>E8-F8+G8</x:f>
        <x:v>1900000</x:v>
      </x:c>
      <x:c r="I8" s="34"/>
      <x:c r="J8" s="35" t="n">
        <x:v>2</x:v>
      </x:c>
      <x:c r="K8" s="34" t="n">
        <x:f>'假设'!$H$9</x:f>
        <x:v>3500000</x:v>
      </x:c>
      <x:c r="L8" s="34" t="n">
        <x:f>'假设'!$B$15</x:f>
        <x:v>200000</x:v>
      </x:c>
      <x:c r="M8" s="34" t="n">
        <x:f>'假设'!$B$27</x:f>
        <x:v>1426613.56131403</x:v>
      </x:c>
      <x:c r="N8" s="34" t="n">
        <x:f>0</x:f>
        <x:v>0</x:v>
      </x:c>
      <x:c r="O8" s="34" t="n">
        <x:f>K8-L8-M8+N8</x:f>
        <x:v>1873386.43868597</x:v>
      </x:c>
      <x:c r="Q8"/>
      <x:c r="R8" s="24"/>
      <x:c r="S8" s="22"/>
    </x:row>
    <x:row r="9" ht="15" hidden="0" customHeight="1">
      <x:c r="A9" s="34" t="str">
        <x:v>核心服务方10年收入</x:v>
      </x:c>
      <x:c r="B9" s="34" t="n">
        <x:f>SUM(K6:K16)+SUM(N6:N16)</x:f>
        <x:v>35000000</x:v>
      </x:c>
      <x:c r="C9" s="34"/>
      <x:c r="D9" s="35" t="n">
        <x:v>4</x:v>
      </x:c>
      <x:c r="E9" s="34" t="n">
        <x:f>'假设'!$B$29</x:f>
        <x:v>15000000</x:v>
      </x:c>
      <x:c r="F9" s="34" t="n">
        <x:f>'假设'!$B$16</x:f>
        <x:v>13100000</x:v>
      </x:c>
      <x:c r="G9" s="34" t="n">
        <x:f>0</x:f>
        <x:v>0</x:v>
      </x:c>
      <x:c r="H9" s="34" t="n">
        <x:f>E9-F9+G9</x:f>
        <x:v>1900000</x:v>
      </x:c>
      <x:c r="I9" s="34"/>
      <x:c r="J9" s="35" t="n">
        <x:v>3</x:v>
      </x:c>
      <x:c r="K9" s="34" t="n">
        <x:f>'假设'!$H$9</x:f>
        <x:v>3500000</x:v>
      </x:c>
      <x:c r="L9" s="34" t="n">
        <x:f>'假设'!$B$15</x:f>
        <x:v>200000</x:v>
      </x:c>
      <x:c r="M9" s="34" t="n">
        <x:f>'假设'!$B$27</x:f>
        <x:v>1426613.56131403</x:v>
      </x:c>
      <x:c r="N9" s="34" t="n">
        <x:f>0</x:f>
        <x:v>0</x:v>
      </x:c>
      <x:c r="O9" s="34" t="n">
        <x:f>K9-L9-M9+N9</x:f>
        <x:v>1873386.43868597</x:v>
      </x:c>
      <x:c r="Q9"/>
      <x:c r="R9" s="24"/>
      <x:c r="S9" s="22"/>
    </x:row>
    <x:row r="10" ht="15" hidden="0" customHeight="1">
      <x:c r="A10" s="34" t="str">
        <x:v>核心服务方10年直接运营成本</x:v>
      </x:c>
      <x:c r="B10" s="34" t="n">
        <x:f>SUM(L6:L16)</x:f>
        <x:v>2000000</x:v>
      </x:c>
      <x:c r="C10" s="34"/>
      <x:c r="D10" s="35" t="n">
        <x:v>5</x:v>
      </x:c>
      <x:c r="E10" s="34" t="n">
        <x:f>'假设'!$B$29</x:f>
        <x:v>15000000</x:v>
      </x:c>
      <x:c r="F10" s="34" t="n">
        <x:f>'假设'!$B$16</x:f>
        <x:v>13100000</x:v>
      </x:c>
      <x:c r="G10" s="34" t="n">
        <x:f>0</x:f>
        <x:v>0</x:v>
      </x:c>
      <x:c r="H10" s="34" t="n">
        <x:f>E10-F10+G10</x:f>
        <x:v>1900000</x:v>
      </x:c>
      <x:c r="I10" s="34"/>
      <x:c r="J10" s="35" t="n">
        <x:v>4</x:v>
      </x:c>
      <x:c r="K10" s="34" t="n">
        <x:f>'假设'!$H$9</x:f>
        <x:v>3500000</x:v>
      </x:c>
      <x:c r="L10" s="34" t="n">
        <x:f>'假设'!$B$15</x:f>
        <x:v>200000</x:v>
      </x:c>
      <x:c r="M10" s="34" t="n">
        <x:f>'假设'!$B$27</x:f>
        <x:v>1426613.56131403</x:v>
      </x:c>
      <x:c r="N10" s="34" t="n">
        <x:f>0</x:f>
        <x:v>0</x:v>
      </x:c>
      <x:c r="O10" s="34" t="n">
        <x:f>K10-L10-M10+N10</x:f>
        <x:v>1873386.43868597</x:v>
      </x:c>
      <x:c r="Q10"/>
      <x:c r="R10" s="24"/>
      <x:c r="S10" s="22"/>
    </x:row>
    <x:row r="11" ht="15" hidden="0" customHeight="1">
      <x:c r="A11" s="34" t="str">
        <x:v>设备商利润</x:v>
      </x:c>
      <x:c r="B11" s="34" t="n">
        <x:f>'假设'!$B$8*'假设'!$B$20*'假设'!$B$21</x:f>
        <x:v>2700000</x:v>
      </x:c>
      <x:c r="C11" s="34"/>
      <x:c r="D11" s="35" t="n">
        <x:v>6</x:v>
      </x:c>
      <x:c r="E11" s="34" t="n">
        <x:f>'假设'!$B$29</x:f>
        <x:v>15000000</x:v>
      </x:c>
      <x:c r="F11" s="34" t="n">
        <x:f>'假设'!$B$16</x:f>
        <x:v>13100000</x:v>
      </x:c>
      <x:c r="G11" s="34" t="n">
        <x:f>0</x:f>
        <x:v>0</x:v>
      </x:c>
      <x:c r="H11" s="34" t="n">
        <x:f>E11-F11+G11</x:f>
        <x:v>1900000</x:v>
      </x:c>
      <x:c r="I11" s="34"/>
      <x:c r="J11" s="35" t="n">
        <x:v>5</x:v>
      </x:c>
      <x:c r="K11" s="34" t="n">
        <x:f>'假设'!$H$9</x:f>
        <x:v>3500000</x:v>
      </x:c>
      <x:c r="L11" s="34" t="n">
        <x:f>'假设'!$B$15</x:f>
        <x:v>200000</x:v>
      </x:c>
      <x:c r="M11" s="34" t="n">
        <x:f>'假设'!$B$27</x:f>
        <x:v>1426613.56131403</x:v>
      </x:c>
      <x:c r="N11" s="34" t="n">
        <x:f>0</x:f>
        <x:v>0</x:v>
      </x:c>
      <x:c r="O11" s="34" t="n">
        <x:f>K11-L11-M11+N11</x:f>
        <x:v>1873386.43868597</x:v>
      </x:c>
      <x:c r="Q11"/>
      <x:c r="R11" s="24"/>
      <x:c r="S11" s="22"/>
    </x:row>
    <x:row r="12" ht="15" hidden="0" customHeight="1">
      <x:c r="A12" s="34" t="str">
        <x:v>EPC利润</x:v>
      </x:c>
      <x:c r="B12" s="34" t="n">
        <x:f>'假设'!$B$8*'假设'!$B$22*'假设'!$B$23</x:f>
        <x:v>600000</x:v>
      </x:c>
      <x:c r="C12" s="34"/>
      <x:c r="D12" s="35" t="n">
        <x:v>7</x:v>
      </x:c>
      <x:c r="E12" s="34" t="n">
        <x:f>'假设'!$B$29</x:f>
        <x:v>15000000</x:v>
      </x:c>
      <x:c r="F12" s="34" t="n">
        <x:f>'假设'!$B$16</x:f>
        <x:v>13100000</x:v>
      </x:c>
      <x:c r="G12" s="34" t="n">
        <x:f>0</x:f>
        <x:v>0</x:v>
      </x:c>
      <x:c r="H12" s="34" t="n">
        <x:f>E12-F12+G12</x:f>
        <x:v>1900000</x:v>
      </x:c>
      <x:c r="I12" s="34"/>
      <x:c r="J12" s="35" t="n">
        <x:v>6</x:v>
      </x:c>
      <x:c r="K12" s="34" t="n">
        <x:f>'假设'!$H$9</x:f>
        <x:v>3500000</x:v>
      </x:c>
      <x:c r="L12" s="34" t="n">
        <x:f>'假设'!$B$15</x:f>
        <x:v>200000</x:v>
      </x:c>
      <x:c r="M12" s="34" t="n">
        <x:f>'假设'!$B$27</x:f>
        <x:v>1426613.56131403</x:v>
      </x:c>
      <x:c r="N12" s="34" t="n">
        <x:f>0</x:f>
        <x:v>0</x:v>
      </x:c>
      <x:c r="O12" s="34" t="n">
        <x:f>K12-L12-M12+N12</x:f>
        <x:v>1873386.43868597</x:v>
      </x:c>
    </x:row>
    <x:row r="13" ht="15" hidden="0" customHeight="1">
      <x:c r="A13" s="34" t="str">
        <x:v>资金方总利息</x:v>
      </x:c>
      <x:c r="B13" s="34" t="n">
        <x:f>'融资摊还'!$D$16</x:f>
        <x:v>3766135.613140302</x:v>
      </x:c>
      <x:c r="C13" s="34"/>
      <x:c r="D13" s="35" t="n">
        <x:v>8</x:v>
      </x:c>
      <x:c r="E13" s="34" t="n">
        <x:f>'假设'!$B$29</x:f>
        <x:v>15000000</x:v>
      </x:c>
      <x:c r="F13" s="34" t="n">
        <x:f>'假设'!$B$16</x:f>
        <x:v>13100000</x:v>
      </x:c>
      <x:c r="G13" s="34" t="n">
        <x:f>0</x:f>
        <x:v>0</x:v>
      </x:c>
      <x:c r="H13" s="34" t="n">
        <x:f>E13-F13+G13</x:f>
        <x:v>1900000</x:v>
      </x:c>
      <x:c r="I13" s="34"/>
      <x:c r="J13" s="35" t="n">
        <x:v>7</x:v>
      </x:c>
      <x:c r="K13" s="34" t="n">
        <x:f>'假设'!$H$9</x:f>
        <x:v>3500000</x:v>
      </x:c>
      <x:c r="L13" s="34" t="n">
        <x:f>'假设'!$B$15</x:f>
        <x:v>200000</x:v>
      </x:c>
      <x:c r="M13" s="34" t="n">
        <x:f>'假设'!$B$27</x:f>
        <x:v>1426613.56131403</x:v>
      </x:c>
      <x:c r="N13" s="34" t="n">
        <x:f>0</x:f>
        <x:v>0</x:v>
      </x:c>
      <x:c r="O13" s="34" t="n">
        <x:f>K13-L13-M13+N13</x:f>
        <x:v>1873386.43868597</x:v>
      </x:c>
    </x:row>
    <x:row r="14" ht="15" hidden="0" customHeight="1">
      <x:c r="A14" s="34" t="str">
        <x:v>资金方净息差</x:v>
      </x:c>
      <x:c r="B14" s="34" t="n">
        <x:f>'融资摊还'!$H$16</x:f>
        <x:v>1569223.1721417918</x:v>
      </x:c>
      <x:c r="C14" s="34"/>
      <x:c r="D14" s="35" t="n">
        <x:v>9</x:v>
      </x:c>
      <x:c r="E14" s="34" t="n">
        <x:f>'假设'!$B$29</x:f>
        <x:v>15000000</x:v>
      </x:c>
      <x:c r="F14" s="34" t="n">
        <x:f>'假设'!$B$16</x:f>
        <x:v>13100000</x:v>
      </x:c>
      <x:c r="G14" s="34" t="n">
        <x:f>0</x:f>
        <x:v>0</x:v>
      </x:c>
      <x:c r="H14" s="34" t="n">
        <x:f>E14-F14+G14</x:f>
        <x:v>1900000</x:v>
      </x:c>
      <x:c r="I14" s="34"/>
      <x:c r="J14" s="35" t="n">
        <x:v>8</x:v>
      </x:c>
      <x:c r="K14" s="34" t="n">
        <x:f>'假设'!$H$9</x:f>
        <x:v>3500000</x:v>
      </x:c>
      <x:c r="L14" s="34" t="n">
        <x:f>'假设'!$B$15</x:f>
        <x:v>200000</x:v>
      </x:c>
      <x:c r="M14" s="34" t="n">
        <x:f>'假设'!$B$27</x:f>
        <x:v>1426613.56131403</x:v>
      </x:c>
      <x:c r="N14" s="34" t="n">
        <x:f>0</x:f>
        <x:v>0</x:v>
      </x:c>
      <x:c r="O14" s="34" t="n">
        <x:f>K14-L14-M14+N14</x:f>
        <x:v>1873386.43868597</x:v>
      </x:c>
    </x:row>
    <x:row r="15" ht="15" hidden="0" customHeight="1">
      <x:c r="A15" s="34"/>
      <x:c r="B15" s="34"/>
      <x:c r="C15" s="34"/>
      <x:c r="D15" s="35" t="n">
        <x:v>10</x:v>
      </x:c>
      <x:c r="E15" s="34" t="n">
        <x:f>'假设'!$B$29</x:f>
        <x:v>15000000</x:v>
      </x:c>
      <x:c r="F15" s="34" t="n">
        <x:f>'假设'!$B$16</x:f>
        <x:v>13100000</x:v>
      </x:c>
      <x:c r="G15" s="34" t="n">
        <x:f>'假设'!$B$24</x:f>
        <x:v>2500000</x:v>
      </x:c>
      <x:c r="H15" s="34" t="n">
        <x:f>E15-F15+G15</x:f>
        <x:v>4400000</x:v>
      </x:c>
      <x:c r="I15" s="34"/>
      <x:c r="J15" s="35" t="n">
        <x:v>9</x:v>
      </x:c>
      <x:c r="K15" s="34" t="n">
        <x:f>'假设'!$H$9</x:f>
        <x:v>3500000</x:v>
      </x:c>
      <x:c r="L15" s="34" t="n">
        <x:f>'假设'!$B$15</x:f>
        <x:v>200000</x:v>
      </x:c>
      <x:c r="M15" s="34" t="n">
        <x:f>'假设'!$B$27</x:f>
        <x:v>1426613.56131403</x:v>
      </x:c>
      <x:c r="N15" s="34" t="n">
        <x:f>0</x:f>
        <x:v>0</x:v>
      </x:c>
      <x:c r="O15" s="34" t="n">
        <x:f>K15-L15-M15+N15</x:f>
        <x:v>1873386.43868597</x:v>
      </x:c>
    </x:row>
    <x:row r="16" ht="15" hidden="0" customHeight="1">
      <x:c r="A16" s="34"/>
      <x:c r="B16" s="34"/>
      <x:c r="C16" s="34"/>
      <x:c r="D16" s="34" t="str">
        <x:v>合计</x:v>
      </x:c>
      <x:c r="E16" s="34" t="n">
        <x:f>SUM(E6:E15)</x:f>
        <x:v>150000000</x:v>
      </x:c>
      <x:c r="F16" s="34" t="n">
        <x:f>SUM(F6:F15)</x:f>
        <x:v>131000000</x:v>
      </x:c>
      <x:c r="G16" s="34" t="n">
        <x:f>SUM(G6:G15)</x:f>
        <x:v>2500000</x:v>
      </x:c>
      <x:c r="H16" s="34" t="n">
        <x:f>SUM(H6:H15)</x:f>
        <x:v>21500000</x:v>
      </x:c>
      <x:c r="I16" s="34"/>
      <x:c r="J16" s="35" t="n">
        <x:v>10</x:v>
      </x:c>
      <x:c r="K16" s="34" t="n">
        <x:f>'假设'!$H$9</x:f>
        <x:v>3500000</x:v>
      </x:c>
      <x:c r="L16" s="34" t="n">
        <x:f>'假设'!$B$15</x:f>
        <x:v>200000</x:v>
      </x:c>
      <x:c r="M16" s="34" t="n">
        <x:f>'假设'!$B$27</x:f>
        <x:v>1426613.56131403</x:v>
      </x:c>
      <x:c r="N16" s="34" t="n">
        <x:f>0</x:f>
        <x:v>0</x:v>
      </x:c>
      <x:c r="O16" s="34" t="n">
        <x:f>K16-L16-M16+N16</x:f>
        <x:v>1873386.43868597</x:v>
      </x:c>
    </x:row>
    <x:row r="17" ht="15" hidden="0" customHeight="1">
      <x:c r="A17" s="34"/>
      <x:c r="B17" s="34"/>
      <x:c r="C17" s="34"/>
      <x:c r="D17" s="33"/>
      <x:c r="E17" s="33"/>
      <x:c r="F17" s="33"/>
      <x:c r="G17" s="33"/>
      <x:c r="H17" s="33"/>
      <x:c r="I17" s="34"/>
      <x:c r="J17" s="33" t="str">
        <x:v>合计</x:v>
      </x:c>
      <x:c r="K17" s="33" t="n">
        <x:f>SUM(K6:K16)</x:f>
        <x:v>35000000</x:v>
      </x:c>
      <x:c r="L17" s="33" t="n">
        <x:f>SUM(L6:L16)</x:f>
        <x:v>2000000</x:v>
      </x:c>
      <x:c r="M17" s="33" t="n">
        <x:f>SUM(M6:M16)</x:f>
        <x:v>14266135.613140298</x:v>
      </x:c>
      <x:c r="N17" s="33" t="n">
        <x:f>SUM(N6:N16)</x:f>
        <x:v>0</x:v>
      </x:c>
      <x:c r="O17" s="33" t="n">
        <x:f>SUM(O6:O16)</x:f>
        <x:v>14233864.386859702</x:v>
      </x:c>
    </x:row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92.86000061035156" hidden="0" customWidth="1"/>
    <x:col min="2" max="2" width="107" hidden="0" customWidth="1"/>
    <x:col min="3" max="3" width="87.56999969482422" hidden="0" customWidth="1"/>
    <x:col min="4" max="4" width="87.56999969482422" hidden="0" customWidth="1"/>
    <x:col min="5" max="5" width="87.56999969482422" hidden="0" customWidth="1"/>
    <x:col min="6" max="6" width="87.56999969482422" hidden="0" customWidth="1"/>
    <x:col min="7" max="7" width="87.56999969482422" hidden="0" customWidth="1"/>
    <x:col min="8" max="8" width="87.56999969482422" hidden="0" customWidth="1"/>
  </x:cols>
  <x:sheetData>
    <x:row r="1" ht="19.53125" hidden="0" customHeight="1">
      <x:c r="A1" s="8" t="str">
        <x:v>来源与说明</x:v>
      </x:c>
      <x:c r="B1" s="8" t="str">
        <x:v>Research sources used for the model logic</x:v>
      </x:c>
      <x:c r="C1" s="8" t="str">
        <x:v>Research sources used for the model logic</x:v>
      </x:c>
      <x:c r="D1" s="8" t="str">
        <x:v>Research sources used for the model logic</x:v>
      </x:c>
      <x:c r="E1" s="8" t="str">
        <x:v>Research sources used for the model logic</x:v>
      </x:c>
      <x:c r="F1" s="8" t="str">
        <x:v>Research sources used for the model logic</x:v>
      </x:c>
      <x:c r="G1" s="8" t="str">
        <x:v>Research sources used for the model logic</x:v>
      </x:c>
      <x:c r="H1" s="8" t="str">
        <x:v>Research sources used for the model logic</x:v>
      </x:c>
    </x:row>
    <x:row r="2" ht="19.53125" hidden="0" customHeight="1">
      <x:c r="A2" s="8" t="str">
        <x:v>Research sources used for the model logic</x:v>
      </x:c>
      <x:c r="B2" s="8" t="str">
        <x:v>Research sources used for the model logic</x:v>
      </x:c>
      <x:c r="C2" s="8" t="str">
        <x:v>Research sources used for the model logic</x:v>
      </x:c>
      <x:c r="D2" s="8" t="str">
        <x:v>Research sources used for the model logic</x:v>
      </x:c>
      <x:c r="E2" s="8" t="str">
        <x:v>Research sources used for the model logic</x:v>
      </x:c>
      <x:c r="F2" s="8" t="str">
        <x:v>Research sources used for the model logic</x:v>
      </x:c>
      <x:c r="G2" s="8" t="str">
        <x:v>Research sources used for the model logic</x:v>
      </x:c>
      <x:c r="H2" s="8" t="str">
        <x:v>Research sources used for the model logic</x:v>
      </x:c>
    </x:row>
    <x:row r="3" ht="15" hidden="0" customHeight="1">
      <x:c r="A3" s="12" t="str">
        <x:v>本工作簿的模式定义与利润逻辑沿用此前公开资料；本次修订仅改变建模约束：将“业主年总投入”设为恒定值。</x:v>
      </x:c>
      <x:c r="B3" s="12" t="str">
        <x:v>注意：本工作簿中的金额参数是对照实验假设，不是公开项目报价；来源仅用于校验模式与现金流逻辑。</x:v>
      </x:c>
      <x:c r="C3" s="12" t="str">
        <x:v>注意：本工作簿中的金额参数是对照实验假设，不是公开项目报价；来源仅用于校验模式与现金流逻辑。</x:v>
      </x:c>
      <x:c r="D3" s="12" t="str">
        <x:v>注意：本工作簿中的金额参数是对照实验假设，不是公开项目报价；来源仅用于校验模式与现金流逻辑。</x:v>
      </x:c>
      <x:c r="E3" s="12" t="str">
        <x:v>注意：本工作簿中的金额参数是对照实验假设，不是公开项目报价；来源仅用于校验模式与现金流逻辑。</x:v>
      </x:c>
      <x:c r="F3" s="12" t="str">
        <x:v>注意：本工作簿中的金额参数是对照实验假设，不是公开项目报价；来源仅用于校验模式与现金流逻辑。</x:v>
      </x:c>
      <x:c r="G3" s="12" t="str">
        <x:v>注意：本工作簿中的金额参数是对照实验假设，不是公开项目报价；来源仅用于校验模式与现金流逻辑。</x:v>
      </x:c>
      <x:c r="H3" s="12" t="str">
        <x:v>注意：本工作簿中的金额参数是对照实验假设，不是公开项目报价；来源仅用于校验模式与现金流逻辑。</x:v>
      </x:c>
    </x:row>
    <x:row r="4"/>
    <x:row r="5" ht="15" hidden="0" customHeight="1">
      <x:c r="A5" s="20" t="str">
        <x:v>主题</x:v>
      </x:c>
      <x:c r="B5" s="20" t="str">
        <x:v>URL</x:v>
      </x:c>
      <x:c r="C5" s="20" t="str">
        <x:v>用途</x:v>
      </x:c>
    </x:row>
    <x:row r="6" ht="15" hidden="0" customHeight="1">
      <x:c r="A6" t="str">
        <x:v>EMC定义 / 回款逻辑</x:v>
      </x:c>
      <x:c r="B6" t="str">
        <x:v>https://www.ndrc.gov.cn/fggz/fzzlgh/gjfzgh/202112/t20211224_1309459.html</x:v>
      </x:c>
      <x:c r="C6" s="22" t="str">
        <x:v>用于确认EMC通过节能收益或服务费回款</x:v>
      </x:c>
    </x:row>
    <x:row r="7" ht="15" hidden="0" customHeight="1">
      <x:c r="A7" t="str">
        <x:v>GB/T 24915 合同类型</x:v>
      </x:c>
      <x:c r="B7" t="str">
        <x:v>https://www.cnis.ac.cn/bydt/bzyjzq/gbyjzq/201901/P020190223345417615159.pdf</x:v>
      </x:c>
      <x:c r="C7" s="22" t="str">
        <x:v>用于确认分享型、保证型、能源托管型、融资租赁型等合同结构</x:v>
      </x:c>
    </x:row>
    <x:row r="8" ht="15" hidden="0" customHeight="1">
      <x:c r="A8" t="str">
        <x:v>公共机构能源费用托管</x:v>
      </x:c>
      <x:c r="B8" t="str">
        <x:v>https://www.nhc.gov.cn/guihuaxxs/c100133/202210/64426e407ed944129269f1a9987d11fa/files/1733226470216_70623.pdf</x:v>
      </x:c>
      <x:c r="C8" s="22" t="str">
        <x:v>用于确认服务采购、5–10年期限、资产移交与预算口径</x:v>
      </x:c>
    </x:row>
    <x:row r="9" ht="15" hidden="0" customHeight="1">
      <x:c r="A9" t="str">
        <x:v>路灯能源托管招标案例</x:v>
      </x:c>
      <x:c r="B9" t="str">
        <x:v>https://ggzyjyzx.tl.gov.cn/jyxx/003002/003002002/20251204/b2640348-e1ba-48ad-90d4-e621d6dca0a2.html</x:v>
      </x:c>
      <x:c r="C9" s="22" t="str">
        <x:v>用于确认路灯托管通常包含改造、电费与维护</x:v>
      </x:c>
    </x:row>
    <x:row r="10" ht="15" hidden="0" customHeight="1">
      <x:c r="A10" t="str">
        <x:v>LaaS 官方说明</x:v>
      </x:c>
      <x:c r="B10" t="str">
        <x:v>https://www.signify.com/global/signify-services/managed-services/light-as-a-service</x:v>
      </x:c>
      <x:c r="C10" s="22" t="str">
        <x:v>用于确认“买光服务，不是买系统”的逻辑</x:v>
      </x:c>
    </x:row>
    <x:row r="11" ht="15" hidden="0" customHeight="1">
      <x:c r="A11" t="str">
        <x:v>LaaS 资产归属 / 残值</x:v>
      </x:c>
      <x:c r="B11" t="str">
        <x:v>https://www.ellenmacarthurfoundation.org/circular-examples/light-as-a-service</x:v>
      </x:c>
      <x:c r="C11" s="22" t="str">
        <x:v>用于确认服务商持有资产与终值/再部署逻辑</x:v>
      </x:c>
    </x:row>
    <x:row r="12" ht="15" hidden="0" customHeight="1">
      <x:c r="A12" t="str">
        <x:v>路灯 lease-to-own</x:v>
      </x:c>
      <x:c r="B12" t="str">
        <x:v>https://ppp.worldbank.org/print/pdf/node/3718</x:v>
      </x:c>
      <x:c r="C12" s="22" t="str">
        <x:v>用于确认路灯租赁/期满移交的交付结构</x:v>
      </x:c>
    </x:row>
    <x:row r="13"/>
    <x:row r="14"/>
    <x:row r="15"/>
    <x:row r="16"/>
    <x:row r="17"/>
    <x:row r="18"/>
    <x:row r="19"/>
    <x:row r="20"/>
    <x:row r="21"/>
    <x:row r="22"/>
    <x:row r="23"/>
    <x:row r="24"/>
    <x:row r="25"/>
    <x:row r="26"/>
    <x:row r="27"/>
    <x:row r="28"/>
    <x:row r="29"/>
    <x:row r="30"/>
  </x:sheetData>
  <x:mergeCells>
    <x:mergeCell ref="A1:H2"/>
    <x:mergeCell ref="A3:H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40" hidden="0" customWidth="1"/>
  </x:cols>
  <x:sheetData>
    <x:row r="1" ht="18.310546875" hidden="0" customHeight="1">
      <x:c r="A1" s="38" t="str">
        <x:v>逐年利润对比（从项目建成第1年开始）</x:v>
      </x:c>
      <x:c r="B1" s="38"/>
      <x:c r="C1" s="38"/>
      <x:c r="D1" s="38"/>
      <x:c r="E1" s="38"/>
      <x:c r="F1" s="38"/>
      <x:c r="G1" s="38"/>
      <x:c r="H1" s="38"/>
      <x:c r="I1" s="38"/>
    </x:row>
    <x:row r="2" ht="36" hidden="0" customHeight="1">
      <x:c r="A2" s="22" t="str">
        <x:v>口径说明：业主年总投入固定；下表只看建成后第1年至第10年的年度差异。设备商、EPC和核心服务方初始股权投入属于建设期一次性项目，不在年度运营差异中拉开模式差距。</x:v>
      </x:c>
      <x:c r="B2" s="22"/>
      <x:c r="C2" s="22"/>
      <x:c r="D2" s="22"/>
      <x:c r="E2" s="22"/>
      <x:c r="F2" s="22"/>
      <x:c r="G2" s="22"/>
      <x:c r="H2" s="22"/>
      <x:c r="I2" s="22"/>
    </x:row>
    <x:row r="3"/>
    <x:row r="4" ht="15" hidden="0" customHeight="1">
      <x:c r="A4" s="39" t="str">
        <x:v>一、甲方逐年增量收益对比（相对改造前基线）</x:v>
      </x:c>
      <x:c r="B4" s="39"/>
      <x:c r="C4" s="39"/>
      <x:c r="D4" s="39"/>
      <x:c r="E4" s="39"/>
      <x:c r="F4" s="39"/>
      <x:c r="G4" s="39"/>
      <x:c r="H4" s="39"/>
      <x:c r="I4" s="39"/>
    </x:row>
    <x:row r="5" ht="15" hidden="0" customHeight="1">
      <x:c r="A5" s="41" t="str">
        <x:v>年份</x:v>
      </x:c>
      <x:c r="B5" s="41" t="str">
        <x:v>EMC</x:v>
      </x:c>
      <x:c r="C5" s="41" t="str">
        <x:v>能源托管</x:v>
      </x:c>
      <x:c r="D5" s="41" t="str">
        <x:v>LaaS</x:v>
      </x:c>
      <x:c r="E5" s="41" t="str">
        <x:v>租赁</x:v>
      </x:c>
      <x:c r="F5" s="41" t="str">
        <x:v>年度最高</x:v>
      </x:c>
      <x:c r="G5" s="41" t="str">
        <x:v>年度最低</x:v>
      </x:c>
      <x:c r="H5" s="41" t="str">
        <x:v>差额</x:v>
      </x:c>
      <x:c r="I5" s="41" t="str">
        <x:v>年度差异说明</x:v>
      </x:c>
    </x:row>
    <x:row r="6" ht="22" hidden="0" customHeight="1">
      <x:c r="A6" t="n">
        <x:v>1</x:v>
      </x:c>
      <x:c r="B6" s="34" t="n">
        <x:f>'EMC模式'!H6</x:f>
        <x:v>1900000</x:v>
      </x:c>
      <x:c r="C6" s="34" t="n">
        <x:f>'能源托管模式'!H6</x:f>
        <x:v>1900000</x:v>
      </x:c>
      <x:c r="D6" s="34" t="n">
        <x:f>'LaaS模式'!H6</x:f>
        <x:v>1900000</x:v>
      </x:c>
      <x:c r="E6" s="34" t="n">
        <x:f>'租赁模式'!H6</x:f>
        <x:v>1900000</x:v>
      </x:c>
      <x:c r="F6" s="34" t="n">
        <x:f>MAX(B6:E6)</x:f>
        <x:v>1900000</x:v>
      </x:c>
      <x:c r="G6" s="34" t="n">
        <x:f>MIN(B6:E6)</x:f>
        <x:v>1900000</x:v>
      </x:c>
      <x:c r="H6" s="34" t="n">
        <x:f>F6-G6</x:f>
        <x:v>0</x:v>
      </x:c>
      <x:c r="I6" s="22" t="str">
        <x:v>前9年甲方收益一致，差异主要不在甲方侧而在服务方分配</x:v>
      </x:c>
    </x:row>
    <x:row r="7" ht="22" hidden="0" customHeight="1">
      <x:c r="A7" t="n">
        <x:v>2</x:v>
      </x:c>
      <x:c r="B7" s="34" t="n">
        <x:f>'EMC模式'!H7</x:f>
        <x:v>1900000</x:v>
      </x:c>
      <x:c r="C7" s="34" t="n">
        <x:f>'能源托管模式'!H7</x:f>
        <x:v>1900000</x:v>
      </x:c>
      <x:c r="D7" s="34" t="n">
        <x:f>'LaaS模式'!H7</x:f>
        <x:v>1900000</x:v>
      </x:c>
      <x:c r="E7" s="34" t="n">
        <x:f>'租赁模式'!H7</x:f>
        <x:v>1900000</x:v>
      </x:c>
      <x:c r="F7" s="34" t="n">
        <x:f>MAX(B7:E7)</x:f>
        <x:v>1900000</x:v>
      </x:c>
      <x:c r="G7" s="34" t="n">
        <x:f>MIN(B7:E7)</x:f>
        <x:v>1900000</x:v>
      </x:c>
      <x:c r="H7" s="34" t="n">
        <x:f>F7-G7</x:f>
        <x:v>0</x:v>
      </x:c>
      <x:c r="I7" s="22" t="str">
        <x:v>前9年甲方收益一致，差异主要不在甲方侧而在服务方分配</x:v>
      </x:c>
    </x:row>
    <x:row r="8" ht="22" hidden="0" customHeight="1">
      <x:c r="A8" t="n">
        <x:v>3</x:v>
      </x:c>
      <x:c r="B8" s="34" t="n">
        <x:f>'EMC模式'!H8</x:f>
        <x:v>1900000</x:v>
      </x:c>
      <x:c r="C8" s="34" t="n">
        <x:f>'能源托管模式'!H8</x:f>
        <x:v>1900000</x:v>
      </x:c>
      <x:c r="D8" s="34" t="n">
        <x:f>'LaaS模式'!H8</x:f>
        <x:v>1900000</x:v>
      </x:c>
      <x:c r="E8" s="34" t="n">
        <x:f>'租赁模式'!H8</x:f>
        <x:v>1900000</x:v>
      </x:c>
      <x:c r="F8" s="34" t="n">
        <x:f>MAX(B8:E8)</x:f>
        <x:v>1900000</x:v>
      </x:c>
      <x:c r="G8" s="34" t="n">
        <x:f>MIN(B8:E8)</x:f>
        <x:v>1900000</x:v>
      </x:c>
      <x:c r="H8" s="34" t="n">
        <x:f>F8-G8</x:f>
        <x:v>0</x:v>
      </x:c>
      <x:c r="I8" s="22" t="str">
        <x:v>前9年甲方收益一致，差异主要不在甲方侧而在服务方分配</x:v>
      </x:c>
    </x:row>
    <x:row r="9" ht="22" hidden="0" customHeight="1">
      <x:c r="A9" t="n">
        <x:v>4</x:v>
      </x:c>
      <x:c r="B9" s="34" t="n">
        <x:f>'EMC模式'!H9</x:f>
        <x:v>1900000</x:v>
      </x:c>
      <x:c r="C9" s="34" t="n">
        <x:f>'能源托管模式'!H9</x:f>
        <x:v>1900000</x:v>
      </x:c>
      <x:c r="D9" s="34" t="n">
        <x:f>'LaaS模式'!H9</x:f>
        <x:v>1900000</x:v>
      </x:c>
      <x:c r="E9" s="34" t="n">
        <x:f>'租赁模式'!H9</x:f>
        <x:v>1900000</x:v>
      </x:c>
      <x:c r="F9" s="34" t="n">
        <x:f>MAX(B9:E9)</x:f>
        <x:v>1900000</x:v>
      </x:c>
      <x:c r="G9" s="34" t="n">
        <x:f>MIN(B9:E9)</x:f>
        <x:v>1900000</x:v>
      </x:c>
      <x:c r="H9" s="34" t="n">
        <x:f>F9-G9</x:f>
        <x:v>0</x:v>
      </x:c>
      <x:c r="I9" s="22" t="str">
        <x:v>前9年甲方收益一致，差异主要不在甲方侧而在服务方分配</x:v>
      </x:c>
    </x:row>
    <x:row r="10" ht="22" hidden="0" customHeight="1">
      <x:c r="A10" t="n">
        <x:v>5</x:v>
      </x:c>
      <x:c r="B10" s="34" t="n">
        <x:f>'EMC模式'!H10</x:f>
        <x:v>1900000</x:v>
      </x:c>
      <x:c r="C10" s="34" t="n">
        <x:f>'能源托管模式'!H10</x:f>
        <x:v>1900000</x:v>
      </x:c>
      <x:c r="D10" s="34" t="n">
        <x:f>'LaaS模式'!H10</x:f>
        <x:v>1900000</x:v>
      </x:c>
      <x:c r="E10" s="34" t="n">
        <x:f>'租赁模式'!H10</x:f>
        <x:v>1900000</x:v>
      </x:c>
      <x:c r="F10" s="34" t="n">
        <x:f>MAX(B10:E10)</x:f>
        <x:v>1900000</x:v>
      </x:c>
      <x:c r="G10" s="34" t="n">
        <x:f>MIN(B10:E10)</x:f>
        <x:v>1900000</x:v>
      </x:c>
      <x:c r="H10" s="34" t="n">
        <x:f>F10-G10</x:f>
        <x:v>0</x:v>
      </x:c>
      <x:c r="I10" s="22" t="str">
        <x:v>前9年甲方收益一致，差异主要不在甲方侧而在服务方分配</x:v>
      </x:c>
    </x:row>
    <x:row r="11" ht="22" hidden="0" customHeight="1">
      <x:c r="A11" t="n">
        <x:v>6</x:v>
      </x:c>
      <x:c r="B11" s="34" t="n">
        <x:f>'EMC模式'!H11</x:f>
        <x:v>1900000</x:v>
      </x:c>
      <x:c r="C11" s="34" t="n">
        <x:f>'能源托管模式'!H11</x:f>
        <x:v>1900000</x:v>
      </x:c>
      <x:c r="D11" s="34" t="n">
        <x:f>'LaaS模式'!H11</x:f>
        <x:v>1900000</x:v>
      </x:c>
      <x:c r="E11" s="34" t="n">
        <x:f>'租赁模式'!H11</x:f>
        <x:v>1900000</x:v>
      </x:c>
      <x:c r="F11" s="34" t="n">
        <x:f>MAX(B11:E11)</x:f>
        <x:v>1900000</x:v>
      </x:c>
      <x:c r="G11" s="34" t="n">
        <x:f>MIN(B11:E11)</x:f>
        <x:v>1900000</x:v>
      </x:c>
      <x:c r="H11" s="34" t="n">
        <x:f>F11-G11</x:f>
        <x:v>0</x:v>
      </x:c>
      <x:c r="I11" s="22" t="str">
        <x:v>前9年甲方收益一致，差异主要不在甲方侧而在服务方分配</x:v>
      </x:c>
    </x:row>
    <x:row r="12" ht="22" hidden="0" customHeight="1">
      <x:c r="A12" t="n">
        <x:v>7</x:v>
      </x:c>
      <x:c r="B12" s="34" t="n">
        <x:f>'EMC模式'!H12</x:f>
        <x:v>1900000</x:v>
      </x:c>
      <x:c r="C12" s="34" t="n">
        <x:f>'能源托管模式'!H12</x:f>
        <x:v>1900000</x:v>
      </x:c>
      <x:c r="D12" s="34" t="n">
        <x:f>'LaaS模式'!H12</x:f>
        <x:v>1900000</x:v>
      </x:c>
      <x:c r="E12" s="34" t="n">
        <x:f>'租赁模式'!H12</x:f>
        <x:v>1900000</x:v>
      </x:c>
      <x:c r="F12" s="34" t="n">
        <x:f>MAX(B12:E12)</x:f>
        <x:v>1900000</x:v>
      </x:c>
      <x:c r="G12" s="34" t="n">
        <x:f>MIN(B12:E12)</x:f>
        <x:v>1900000</x:v>
      </x:c>
      <x:c r="H12" s="34" t="n">
        <x:f>F12-G12</x:f>
        <x:v>0</x:v>
      </x:c>
      <x:c r="I12" s="22" t="str">
        <x:v>前9年甲方收益一致，差异主要不在甲方侧而在服务方分配</x:v>
      </x:c>
    </x:row>
    <x:row r="13" ht="22" hidden="0" customHeight="1">
      <x:c r="A13" t="n">
        <x:v>8</x:v>
      </x:c>
      <x:c r="B13" s="34" t="n">
        <x:f>'EMC模式'!H13</x:f>
        <x:v>1900000</x:v>
      </x:c>
      <x:c r="C13" s="34" t="n">
        <x:f>'能源托管模式'!H13</x:f>
        <x:v>1900000</x:v>
      </x:c>
      <x:c r="D13" s="34" t="n">
        <x:f>'LaaS模式'!H13</x:f>
        <x:v>1900000</x:v>
      </x:c>
      <x:c r="E13" s="34" t="n">
        <x:f>'租赁模式'!H13</x:f>
        <x:v>1900000</x:v>
      </x:c>
      <x:c r="F13" s="34" t="n">
        <x:f>MAX(B13:E13)</x:f>
        <x:v>1900000</x:v>
      </x:c>
      <x:c r="G13" s="34" t="n">
        <x:f>MIN(B13:E13)</x:f>
        <x:v>1900000</x:v>
      </x:c>
      <x:c r="H13" s="34" t="n">
        <x:f>F13-G13</x:f>
        <x:v>0</x:v>
      </x:c>
      <x:c r="I13" s="22" t="str">
        <x:v>前9年甲方收益一致，差异主要不在甲方侧而在服务方分配</x:v>
      </x:c>
    </x:row>
    <x:row r="14" ht="22" hidden="0" customHeight="1">
      <x:c r="A14" t="n">
        <x:v>9</x:v>
      </x:c>
      <x:c r="B14" s="34" t="n">
        <x:f>'EMC模式'!H14</x:f>
        <x:v>1900000</x:v>
      </x:c>
      <x:c r="C14" s="34" t="n">
        <x:f>'能源托管模式'!H14</x:f>
        <x:v>1900000</x:v>
      </x:c>
      <x:c r="D14" s="34" t="n">
        <x:f>'LaaS模式'!H14</x:f>
        <x:v>1900000</x:v>
      </x:c>
      <x:c r="E14" s="34" t="n">
        <x:f>'租赁模式'!H14</x:f>
        <x:v>1900000</x:v>
      </x:c>
      <x:c r="F14" s="34" t="n">
        <x:f>MAX(B14:E14)</x:f>
        <x:v>1900000</x:v>
      </x:c>
      <x:c r="G14" s="34" t="n">
        <x:f>MIN(B14:E14)</x:f>
        <x:v>1900000</x:v>
      </x:c>
      <x:c r="H14" s="34" t="n">
        <x:f>F14-G14</x:f>
        <x:v>0</x:v>
      </x:c>
      <x:c r="I14" s="22" t="str">
        <x:v>前9年甲方收益一致，差异主要不在甲方侧而在服务方分配</x:v>
      </x:c>
    </x:row>
    <x:row r="15" ht="22" hidden="0" customHeight="1">
      <x:c r="A15" t="n">
        <x:v>10</x:v>
      </x:c>
      <x:c r="B15" s="34" t="n">
        <x:f>'EMC模式'!H15</x:f>
        <x:v>4400000</x:v>
      </x:c>
      <x:c r="C15" s="34" t="n">
        <x:f>'能源托管模式'!H15</x:f>
        <x:v>4400000</x:v>
      </x:c>
      <x:c r="D15" s="34" t="n">
        <x:f>'LaaS模式'!H15</x:f>
        <x:v>1900000</x:v>
      </x:c>
      <x:c r="E15" s="34" t="n">
        <x:f>'租赁模式'!H15</x:f>
        <x:v>4400000</x:v>
      </x:c>
      <x:c r="F15" s="34" t="n">
        <x:f>MAX(B15:E15)</x:f>
        <x:v>4400000</x:v>
      </x:c>
      <x:c r="G15" s="34" t="n">
        <x:f>MIN(B15:E15)</x:f>
        <x:v>1900000</x:v>
      </x:c>
      <x:c r="H15" s="34" t="n">
        <x:f>F15-G15</x:f>
        <x:v>2500000</x:v>
      </x:c>
      <x:c r="I15" s="22" t="str">
        <x:v>第10年开始出现终值归属差异；LaaS默认终值不归甲方</x:v>
      </x:c>
    </x:row>
    <x:row r="16" ht="22" hidden="0" customHeight="1">
      <x:c r="A16" s="43" t="str">
        <x:v>合计</x:v>
      </x:c>
      <x:c r="B16" s="45" t="n">
        <x:f>SUM(B6:B15)</x:f>
        <x:v>21500000</x:v>
      </x:c>
      <x:c r="C16" s="45" t="n">
        <x:f>SUM(C6:C15)</x:f>
        <x:v>21500000</x:v>
      </x:c>
      <x:c r="D16" s="45" t="n">
        <x:f>SUM(D6:D15)</x:f>
        <x:v>19000000</x:v>
      </x:c>
      <x:c r="E16" s="45" t="n">
        <x:f>SUM(E6:E15)</x:f>
        <x:v>21500000</x:v>
      </x:c>
      <x:c r="F16" s="45" t="n">
        <x:f>SUM(F6:F15)</x:f>
        <x:v>21500000</x:v>
      </x:c>
      <x:c r="G16" s="45" t="n">
        <x:f>SUM(G6:G15)</x:f>
        <x:v>19000000</x:v>
      </x:c>
      <x:c r="H16" s="45" t="n">
        <x:f>SUM(H6:H15)</x:f>
        <x:v>2500000</x:v>
      </x:c>
      <x:c r="I16" s="44" t="str">
        <x:v>10年累计差异</x:v>
      </x:c>
    </x:row>
    <x:row r="17"/>
    <x:row r="18"/>
    <x:row r="19" ht="15" hidden="0" customHeight="1">
      <x:c r="A19" s="39" t="str">
        <x:v>二、核心服务方逐年净经营现金对比（未扣建设期初始股权投入）</x:v>
      </x:c>
      <x:c r="B19" s="39"/>
      <x:c r="C19" s="39"/>
      <x:c r="D19" s="39"/>
      <x:c r="E19" s="39"/>
      <x:c r="F19" s="39"/>
      <x:c r="G19" s="39"/>
      <x:c r="H19" s="39"/>
      <x:c r="I19" s="39"/>
    </x:row>
    <x:row r="20" ht="15" hidden="0" customHeight="1">
      <x:c r="A20" s="41" t="str">
        <x:v>年份</x:v>
      </x:c>
      <x:c r="B20" s="41" t="str">
        <x:v>EMC</x:v>
      </x:c>
      <x:c r="C20" s="41" t="str">
        <x:v>能源托管</x:v>
      </x:c>
      <x:c r="D20" s="41" t="str">
        <x:v>LaaS</x:v>
      </x:c>
      <x:c r="E20" s="41" t="str">
        <x:v>租赁</x:v>
      </x:c>
      <x:c r="F20" s="41" t="str">
        <x:v>年度最高</x:v>
      </x:c>
      <x:c r="G20" s="41" t="str">
        <x:v>年度最低</x:v>
      </x:c>
      <x:c r="H20" s="41" t="str">
        <x:v>差额</x:v>
      </x:c>
      <x:c r="I20" s="41" t="str">
        <x:v>年度差异说明</x:v>
      </x:c>
    </x:row>
    <x:row r="21" ht="22" hidden="0" customHeight="1">
      <x:c r="A21" t="n">
        <x:v>1</x:v>
      </x:c>
      <x:c r="B21" s="34" t="n">
        <x:f>'EMC模式'!K7-'EMC模式'!L7-'EMC模式'!M7+'EMC模式'!N7</x:f>
        <x:v>1373386.43868597</x:v>
      </x:c>
      <x:c r="C21" s="34" t="n">
        <x:f>'能源托管模式'!K7-'能源托管模式'!L7-'能源托管模式'!M7+'能源托管模式'!N7</x:f>
        <x:v>1673386.43868597</x:v>
      </x:c>
      <x:c r="D21" s="34" t="n">
        <x:f>'LaaS模式'!K7-'LaaS模式'!L7-'LaaS模式'!M7+'LaaS模式'!N7</x:f>
        <x:v>1673386.43868597</x:v>
      </x:c>
      <x:c r="E21" s="34" t="n">
        <x:f>'租赁模式'!K7-'租赁模式'!L7-'租赁模式'!M7+'租赁模式'!N7</x:f>
        <x:v>1873386.43868597</x:v>
      </x:c>
      <x:c r="F21" s="34" t="n">
        <x:f>MAX(B21:E21)</x:f>
        <x:v>1873386.43868597</x:v>
      </x:c>
      <x:c r="G21" s="34" t="n">
        <x:f>MIN(B21:E21)</x:f>
        <x:v>1373386.43868597</x:v>
      </x:c>
      <x:c r="H21" s="34" t="n">
        <x:f>F21-G21</x:f>
        <x:v>500000</x:v>
      </x:c>
      <x:c r="I21" s="22" t="str">
        <x:v>年度差异主要来自：服务费口径不同 + 谁承担运维成本；债务条件相同</x:v>
      </x:c>
    </x:row>
    <x:row r="22" ht="22" hidden="0" customHeight="1">
      <x:c r="A22" t="n">
        <x:v>2</x:v>
      </x:c>
      <x:c r="B22" s="34" t="n">
        <x:f>'EMC模式'!K8-'EMC模式'!L8-'EMC模式'!M8+'EMC模式'!N8</x:f>
        <x:v>1373386.43868597</x:v>
      </x:c>
      <x:c r="C22" s="34" t="n">
        <x:f>'能源托管模式'!K8-'能源托管模式'!L8-'能源托管模式'!M8+'能源托管模式'!N8</x:f>
        <x:v>1673386.43868597</x:v>
      </x:c>
      <x:c r="D22" s="34" t="n">
        <x:f>'LaaS模式'!K8-'LaaS模式'!L8-'LaaS模式'!M8+'LaaS模式'!N8</x:f>
        <x:v>1673386.43868597</x:v>
      </x:c>
      <x:c r="E22" s="34" t="n">
        <x:f>'租赁模式'!K8-'租赁模式'!L8-'租赁模式'!M8+'租赁模式'!N8</x:f>
        <x:v>1873386.43868597</x:v>
      </x:c>
      <x:c r="F22" s="34" t="n">
        <x:f>MAX(B22:E22)</x:f>
        <x:v>1873386.43868597</x:v>
      </x:c>
      <x:c r="G22" s="34" t="n">
        <x:f>MIN(B22:E22)</x:f>
        <x:v>1373386.43868597</x:v>
      </x:c>
      <x:c r="H22" s="34" t="n">
        <x:f>F22-G22</x:f>
        <x:v>500000</x:v>
      </x:c>
      <x:c r="I22" s="22" t="str">
        <x:v>年度差异主要来自：服务费口径不同 + 谁承担运维成本；债务条件相同</x:v>
      </x:c>
    </x:row>
    <x:row r="23" ht="22" hidden="0" customHeight="1">
      <x:c r="A23" t="n">
        <x:v>3</x:v>
      </x:c>
      <x:c r="B23" s="34" t="n">
        <x:f>'EMC模式'!K9-'EMC模式'!L9-'EMC模式'!M9+'EMC模式'!N9</x:f>
        <x:v>1373386.43868597</x:v>
      </x:c>
      <x:c r="C23" s="34" t="n">
        <x:f>'能源托管模式'!K9-'能源托管模式'!L9-'能源托管模式'!M9+'能源托管模式'!N9</x:f>
        <x:v>1673386.43868597</x:v>
      </x:c>
      <x:c r="D23" s="34" t="n">
        <x:f>'LaaS模式'!K9-'LaaS模式'!L9-'LaaS模式'!M9+'LaaS模式'!N9</x:f>
        <x:v>1673386.43868597</x:v>
      </x:c>
      <x:c r="E23" s="34" t="n">
        <x:f>'租赁模式'!K9-'租赁模式'!L9-'租赁模式'!M9+'租赁模式'!N9</x:f>
        <x:v>1873386.43868597</x:v>
      </x:c>
      <x:c r="F23" s="34" t="n">
        <x:f>MAX(B23:E23)</x:f>
        <x:v>1873386.43868597</x:v>
      </x:c>
      <x:c r="G23" s="34" t="n">
        <x:f>MIN(B23:E23)</x:f>
        <x:v>1373386.43868597</x:v>
      </x:c>
      <x:c r="H23" s="34" t="n">
        <x:f>F23-G23</x:f>
        <x:v>500000</x:v>
      </x:c>
      <x:c r="I23" s="22" t="str">
        <x:v>年度差异主要来自：服务费口径不同 + 谁承担运维成本；债务条件相同</x:v>
      </x:c>
    </x:row>
    <x:row r="24" ht="22" hidden="0" customHeight="1">
      <x:c r="A24" t="n">
        <x:v>4</x:v>
      </x:c>
      <x:c r="B24" s="34" t="n">
        <x:f>'EMC模式'!K10-'EMC模式'!L10-'EMC模式'!M10+'EMC模式'!N10</x:f>
        <x:v>1373386.43868597</x:v>
      </x:c>
      <x:c r="C24" s="34" t="n">
        <x:f>'能源托管模式'!K10-'能源托管模式'!L10-'能源托管模式'!M10+'能源托管模式'!N10</x:f>
        <x:v>1673386.43868597</x:v>
      </x:c>
      <x:c r="D24" s="34" t="n">
        <x:f>'LaaS模式'!K10-'LaaS模式'!L10-'LaaS模式'!M10+'LaaS模式'!N10</x:f>
        <x:v>1673386.43868597</x:v>
      </x:c>
      <x:c r="E24" s="34" t="n">
        <x:f>'租赁模式'!K10-'租赁模式'!L10-'租赁模式'!M10+'租赁模式'!N10</x:f>
        <x:v>1873386.43868597</x:v>
      </x:c>
      <x:c r="F24" s="34" t="n">
        <x:f>MAX(B24:E24)</x:f>
        <x:v>1873386.43868597</x:v>
      </x:c>
      <x:c r="G24" s="34" t="n">
        <x:f>MIN(B24:E24)</x:f>
        <x:v>1373386.43868597</x:v>
      </x:c>
      <x:c r="H24" s="34" t="n">
        <x:f>F24-G24</x:f>
        <x:v>500000</x:v>
      </x:c>
      <x:c r="I24" s="22" t="str">
        <x:v>年度差异主要来自：服务费口径不同 + 谁承担运维成本；债务条件相同</x:v>
      </x:c>
    </x:row>
    <x:row r="25" ht="22" hidden="0" customHeight="1">
      <x:c r="A25" t="n">
        <x:v>5</x:v>
      </x:c>
      <x:c r="B25" s="34" t="n">
        <x:f>'EMC模式'!K11-'EMC模式'!L11-'EMC模式'!M11+'EMC模式'!N11</x:f>
        <x:v>1373386.43868597</x:v>
      </x:c>
      <x:c r="C25" s="34" t="n">
        <x:f>'能源托管模式'!K11-'能源托管模式'!L11-'能源托管模式'!M11+'能源托管模式'!N11</x:f>
        <x:v>1673386.43868597</x:v>
      </x:c>
      <x:c r="D25" s="34" t="n">
        <x:f>'LaaS模式'!K11-'LaaS模式'!L11-'LaaS模式'!M11+'LaaS模式'!N11</x:f>
        <x:v>1673386.43868597</x:v>
      </x:c>
      <x:c r="E25" s="34" t="n">
        <x:f>'租赁模式'!K11-'租赁模式'!L11-'租赁模式'!M11+'租赁模式'!N11</x:f>
        <x:v>1873386.43868597</x:v>
      </x:c>
      <x:c r="F25" s="34" t="n">
        <x:f>MAX(B25:E25)</x:f>
        <x:v>1873386.43868597</x:v>
      </x:c>
      <x:c r="G25" s="34" t="n">
        <x:f>MIN(B25:E25)</x:f>
        <x:v>1373386.43868597</x:v>
      </x:c>
      <x:c r="H25" s="34" t="n">
        <x:f>F25-G25</x:f>
        <x:v>500000</x:v>
      </x:c>
      <x:c r="I25" s="22" t="str">
        <x:v>年度差异主要来自：服务费口径不同 + 谁承担运维成本；债务条件相同</x:v>
      </x:c>
    </x:row>
    <x:row r="26" ht="22" hidden="0" customHeight="1">
      <x:c r="A26" t="n">
        <x:v>6</x:v>
      </x:c>
      <x:c r="B26" s="34" t="n">
        <x:f>'EMC模式'!K12-'EMC模式'!L12-'EMC模式'!M12+'EMC模式'!N12</x:f>
        <x:v>1373386.43868597</x:v>
      </x:c>
      <x:c r="C26" s="34" t="n">
        <x:f>'能源托管模式'!K12-'能源托管模式'!L12-'能源托管模式'!M12+'能源托管模式'!N12</x:f>
        <x:v>1673386.43868597</x:v>
      </x:c>
      <x:c r="D26" s="34" t="n">
        <x:f>'LaaS模式'!K12-'LaaS模式'!L12-'LaaS模式'!M12+'LaaS模式'!N12</x:f>
        <x:v>1673386.43868597</x:v>
      </x:c>
      <x:c r="E26" s="34" t="n">
        <x:f>'租赁模式'!K12-'租赁模式'!L12-'租赁模式'!M12+'租赁模式'!N12</x:f>
        <x:v>1873386.43868597</x:v>
      </x:c>
      <x:c r="F26" s="34" t="n">
        <x:f>MAX(B26:E26)</x:f>
        <x:v>1873386.43868597</x:v>
      </x:c>
      <x:c r="G26" s="34" t="n">
        <x:f>MIN(B26:E26)</x:f>
        <x:v>1373386.43868597</x:v>
      </x:c>
      <x:c r="H26" s="34" t="n">
        <x:f>F26-G26</x:f>
        <x:v>500000</x:v>
      </x:c>
      <x:c r="I26" s="22" t="str">
        <x:v>年度差异主要来自：服务费口径不同 + 谁承担运维成本；债务条件相同</x:v>
      </x:c>
    </x:row>
    <x:row r="27" ht="22" hidden="0" customHeight="1">
      <x:c r="A27" t="n">
        <x:v>7</x:v>
      </x:c>
      <x:c r="B27" s="34" t="n">
        <x:f>'EMC模式'!K13-'EMC模式'!L13-'EMC模式'!M13+'EMC模式'!N13</x:f>
        <x:v>1373386.43868597</x:v>
      </x:c>
      <x:c r="C27" s="34" t="n">
        <x:f>'能源托管模式'!K13-'能源托管模式'!L13-'能源托管模式'!M13+'能源托管模式'!N13</x:f>
        <x:v>1673386.43868597</x:v>
      </x:c>
      <x:c r="D27" s="34" t="n">
        <x:f>'LaaS模式'!K13-'LaaS模式'!L13-'LaaS模式'!M13+'LaaS模式'!N13</x:f>
        <x:v>1673386.43868597</x:v>
      </x:c>
      <x:c r="E27" s="34" t="n">
        <x:f>'租赁模式'!K13-'租赁模式'!L13-'租赁模式'!M13+'租赁模式'!N13</x:f>
        <x:v>1873386.43868597</x:v>
      </x:c>
      <x:c r="F27" s="34" t="n">
        <x:f>MAX(B27:E27)</x:f>
        <x:v>1873386.43868597</x:v>
      </x:c>
      <x:c r="G27" s="34" t="n">
        <x:f>MIN(B27:E27)</x:f>
        <x:v>1373386.43868597</x:v>
      </x:c>
      <x:c r="H27" s="34" t="n">
        <x:f>F27-G27</x:f>
        <x:v>500000</x:v>
      </x:c>
      <x:c r="I27" s="22" t="str">
        <x:v>年度差异主要来自：服务费口径不同 + 谁承担运维成本；债务条件相同</x:v>
      </x:c>
    </x:row>
    <x:row r="28" ht="22" hidden="0" customHeight="1">
      <x:c r="A28" t="n">
        <x:v>8</x:v>
      </x:c>
      <x:c r="B28" s="34" t="n">
        <x:f>'EMC模式'!K14-'EMC模式'!L14-'EMC模式'!M14+'EMC模式'!N14</x:f>
        <x:v>1373386.43868597</x:v>
      </x:c>
      <x:c r="C28" s="34" t="n">
        <x:f>'能源托管模式'!K14-'能源托管模式'!L14-'能源托管模式'!M14+'能源托管模式'!N14</x:f>
        <x:v>1673386.43868597</x:v>
      </x:c>
      <x:c r="D28" s="34" t="n">
        <x:f>'LaaS模式'!K14-'LaaS模式'!L14-'LaaS模式'!M14+'LaaS模式'!N14</x:f>
        <x:v>1673386.43868597</x:v>
      </x:c>
      <x:c r="E28" s="34" t="n">
        <x:f>'租赁模式'!K14-'租赁模式'!L14-'租赁模式'!M14+'租赁模式'!N14</x:f>
        <x:v>1873386.43868597</x:v>
      </x:c>
      <x:c r="F28" s="34" t="n">
        <x:f>MAX(B28:E28)</x:f>
        <x:v>1873386.43868597</x:v>
      </x:c>
      <x:c r="G28" s="34" t="n">
        <x:f>MIN(B28:E28)</x:f>
        <x:v>1373386.43868597</x:v>
      </x:c>
      <x:c r="H28" s="34" t="n">
        <x:f>F28-G28</x:f>
        <x:v>500000</x:v>
      </x:c>
      <x:c r="I28" s="22" t="str">
        <x:v>年度差异主要来自：服务费口径不同 + 谁承担运维成本；债务条件相同</x:v>
      </x:c>
    </x:row>
    <x:row r="29" ht="22" hidden="0" customHeight="1">
      <x:c r="A29" t="n">
        <x:v>9</x:v>
      </x:c>
      <x:c r="B29" s="34" t="n">
        <x:f>'EMC模式'!K15-'EMC模式'!L15-'EMC模式'!M15+'EMC模式'!N15</x:f>
        <x:v>1373386.43868597</x:v>
      </x:c>
      <x:c r="C29" s="34" t="n">
        <x:f>'能源托管模式'!K15-'能源托管模式'!L15-'能源托管模式'!M15+'能源托管模式'!N15</x:f>
        <x:v>1673386.43868597</x:v>
      </x:c>
      <x:c r="D29" s="34" t="n">
        <x:f>'LaaS模式'!K15-'LaaS模式'!L15-'LaaS模式'!M15+'LaaS模式'!N15</x:f>
        <x:v>1673386.43868597</x:v>
      </x:c>
      <x:c r="E29" s="34" t="n">
        <x:f>'租赁模式'!K15-'租赁模式'!L15-'租赁模式'!M15+'租赁模式'!N15</x:f>
        <x:v>1873386.43868597</x:v>
      </x:c>
      <x:c r="F29" s="34" t="n">
        <x:f>MAX(B29:E29)</x:f>
        <x:v>1873386.43868597</x:v>
      </x:c>
      <x:c r="G29" s="34" t="n">
        <x:f>MIN(B29:E29)</x:f>
        <x:v>1373386.43868597</x:v>
      </x:c>
      <x:c r="H29" s="34" t="n">
        <x:f>F29-G29</x:f>
        <x:v>500000</x:v>
      </x:c>
      <x:c r="I29" s="22" t="str">
        <x:v>年度差异主要来自：服务费口径不同 + 谁承担运维成本；债务条件相同</x:v>
      </x:c>
    </x:row>
    <x:row r="30" ht="22" hidden="0" customHeight="1">
      <x:c r="A30" t="n">
        <x:v>10</x:v>
      </x:c>
      <x:c r="B30" s="34" t="n">
        <x:f>'EMC模式'!K16-'EMC模式'!L16-'EMC模式'!M16+'EMC模式'!N16</x:f>
        <x:v>1373386.43868597</x:v>
      </x:c>
      <x:c r="C30" s="34" t="n">
        <x:f>'能源托管模式'!K16-'能源托管模式'!L16-'能源托管模式'!M16+'能源托管模式'!N16</x:f>
        <x:v>1673386.43868597</x:v>
      </x:c>
      <x:c r="D30" s="34" t="n">
        <x:f>'LaaS模式'!K16-'LaaS模式'!L16-'LaaS模式'!M16+'LaaS模式'!N16</x:f>
        <x:v>4173386.43868597</x:v>
      </x:c>
      <x:c r="E30" s="34" t="n">
        <x:f>'租赁模式'!K16-'租赁模式'!L16-'租赁模式'!M16+'租赁模式'!N16</x:f>
        <x:v>1873386.43868597</x:v>
      </x:c>
      <x:c r="F30" s="34" t="n">
        <x:f>MAX(B30:E30)</x:f>
        <x:v>4173386.43868597</x:v>
      </x:c>
      <x:c r="G30" s="34" t="n">
        <x:f>MIN(B30:E30)</x:f>
        <x:v>1373386.43868597</x:v>
      </x:c>
      <x:c r="H30" s="34" t="n">
        <x:f>F30-G30</x:f>
        <x:v>2800000</x:v>
      </x:c>
      <x:c r="I30" s="22" t="str">
        <x:v>第10年差异再叠加残值/终值归属；LaaS默认残值归服务方</x:v>
      </x:c>
    </x:row>
    <x:row r="31" ht="22" hidden="0" customHeight="1">
      <x:c r="A31" s="43" t="str">
        <x:v>合计</x:v>
      </x:c>
      <x:c r="B31" s="45" t="n">
        <x:f>SUM(B21:B30)</x:f>
        <x:v>13733864.386859702</x:v>
      </x:c>
      <x:c r="C31" s="45" t="n">
        <x:f>SUM(C21:C30)</x:f>
        <x:v>16733864.386859702</x:v>
      </x:c>
      <x:c r="D31" s="45" t="n">
        <x:f>SUM(D21:D30)</x:f>
        <x:v>19233864.3868597</x:v>
      </x:c>
      <x:c r="E31" s="45" t="n">
        <x:f>SUM(E21:E30)</x:f>
        <x:v>18733864.3868597</x:v>
      </x:c>
      <x:c r="F31" s="45" t="n">
        <x:f>SUM(F21:F30)</x:f>
        <x:v>21033864.3868597</x:v>
      </x:c>
      <x:c r="G31" s="45" t="n">
        <x:f>SUM(G21:G30)</x:f>
        <x:v>13733864.386859702</x:v>
      </x:c>
      <x:c r="H31" s="45" t="n">
        <x:f>SUM(H21:H30)</x:f>
        <x:v>7300000</x:v>
      </x:c>
      <x:c r="I31" s="44" t="str">
        <x:v>10年经营期累计</x:v>
      </x:c>
    </x:row>
    <x:row r="32"/>
    <x:row r="33"/>
    <x:row r="34" ht="15" hidden="0" customHeight="1">
      <x:c r="A34" s="39" t="str">
        <x:v>三、建设期/不拉开年度模式差异的项目</x:v>
      </x:c>
      <x:c r="B34" s="39"/>
      <x:c r="C34" s="39"/>
      <x:c r="D34" s="39"/>
      <x:c r="E34" s="39"/>
    </x:row>
    <x:row r="35" ht="15" hidden="0" customHeight="1">
      <x:c r="A35" s="41" t="str">
        <x:v>项目</x:v>
      </x:c>
      <x:c r="B35" s="41" t="str">
        <x:v>发生时点</x:v>
      </x:c>
      <x:c r="C35" s="41" t="str">
        <x:v>金额/口径</x:v>
      </x:c>
      <x:c r="D35" s="41" t="str">
        <x:v>四模式差异</x:v>
      </x:c>
      <x:c r="E35" s="41" t="str">
        <x:v>说明</x:v>
      </x:c>
    </x:row>
    <x:row r="36" ht="22" hidden="0" customHeight="1">
      <x:c r="A36" t="str">
        <x:v>设备商利润</x:v>
      </x:c>
      <x:c r="B36" t="str">
        <x:v>建设期</x:v>
      </x:c>
      <x:c r="C36" s="34" t="n">
        <x:f>'汇总对比'!B8</x:f>
        <x:v>2700000</x:v>
      </x:c>
      <x:c r="D36" t="str">
        <x:v>无</x:v>
      </x:c>
      <x:c r="E36" s="22" t="str">
        <x:v>同一CAPEX口径下，设备商利润在建设期确认，四模式相同</x:v>
      </x:c>
    </x:row>
    <x:row r="37" ht="22" hidden="0" customHeight="1">
      <x:c r="A37" t="str">
        <x:v>EPC利润</x:v>
      </x:c>
      <x:c r="B37" t="str">
        <x:v>建设期</x:v>
      </x:c>
      <x:c r="C37" s="34" t="n">
        <x:f>'汇总对比'!B9</x:f>
        <x:v>600000</x:v>
      </x:c>
      <x:c r="D37" t="str">
        <x:v>无</x:v>
      </x:c>
      <x:c r="E37" s="22" t="str">
        <x:v>同一CAPEX口径下，EPC利润在建设期确认，四模式相同</x:v>
      </x:c>
    </x:row>
    <x:row r="38" ht="22" hidden="0" customHeight="1">
      <x:c r="A38" t="str">
        <x:v>核心服务方初始股权投入</x:v>
      </x:c>
      <x:c r="B38" t="str">
        <x:v>建设期</x:v>
      </x:c>
      <x:c r="C38" s="34" t="n">
        <x:f>'假设'!B8*(1-'假设'!B17)</x:f>
        <x:v>4500000.000000001</x:v>
      </x:c>
      <x:c r="D38" t="str">
        <x:v>无</x:v>
      </x:c>
      <x:c r="E38" s="22" t="str">
        <x:v>四模式均按同一资本金比例投入；它影响最终净收益，但不影响第1-10年的年度经营差异</x:v>
      </x:c>
    </x:row>
    <x:row r="39" ht="22" hidden="0" customHeight="1">
      <x:c r="A39" t="str">
        <x:v>资金方净息差</x:v>
      </x:c>
      <x:c r="B39" t="str">
        <x:v>第1-10年</x:v>
      </x:c>
      <x:c r="C39" s="34" t="n">
        <x:f>'汇总对比'!B10</x:f>
        <x:v>1569223.1721417918</x:v>
      </x:c>
      <x:c r="D39" t="str">
        <x:v>无</x:v>
      </x:c>
      <x:c r="E39" s="22" t="str">
        <x:v>融资比例、利率、资金成本相同，因此资金方收益基本不拉开模式差距</x:v>
      </x:c>
    </x:row>
  </x:sheetData>
  <x:conditionalFormatting sqref="H6:H16">
    <x:cfRule type="dataBar" priority="1">
      <x:dataBar>
        <x:cfvo type="min"/>
        <x:cfvo type="max"/>
        <x:color rgb="FFA5A5A5"/>
      </x:dataBar>
      <x:extLst>
        <x:ext xmlns:x14="http://schemas.microsoft.com/office/spreadsheetml/2009/9/main" uri="{B025F937-C7B1-47D3-B67F-A62EFF666E3E}">
          <x14:id>{6392D1EC-8A81-57BA-258B-7CB6F0A386D2}</x14:id>
        </x:ext>
      </x:extLst>
    </x:cfRule>
  </x:conditionalFormatting>
  <x:conditionalFormatting sqref="H21:H31">
    <x:cfRule type="dataBar" priority="2">
      <x:dataBar>
        <x:cfvo type="min"/>
        <x:cfvo type="max"/>
        <x:color rgb="FFA5A5A5"/>
      </x:dataBar>
      <x:extLst>
        <x:ext xmlns:x14="http://schemas.microsoft.com/office/spreadsheetml/2009/9/main" uri="{B025F937-C7B1-47D3-B67F-A62EFF666E3E}">
          <x14:id>{926FEAD6-F22A-4A99-285A-6950C8B2A1EB}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392D1EC-8A81-57BA-258B-7CB6F0A386D2}">
            <x14:dataBar gradient="1">
              <x14:cfvo type="min"/>
              <x14:cfvo type="max"/>
              <x14:fillColor rgb="FFA5A5A5"/>
            </x14:dataBar>
          </x14:cfRule>
          <xm:sqref>H6:H16</xm:sqref>
        </x14:conditionalFormatting>
        <x14:conditionalFormatting>
          <x14:cfRule type="dataBar" priority="2" id="{926FEAD6-F22A-4A99-285A-6950C8B2A1EB}">
            <x14:dataBar gradient="1">
              <x14:cfvo type="min"/>
              <x14:cfvo type="max"/>
              <x14:fillColor rgb="FFA5A5A5"/>
            </x14:dataBar>
          </x14:cfRule>
          <xm:sqref>H21:H31</xm:sqref>
        </x14:conditionalFormatting>
      </x14:conditionalFormattings>
    </x:ext>
  </x:extLst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8" hidden="0" customWidth="1"/>
    <x:col min="3" max="3" width="13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1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34" hidden="0" customWidth="1"/>
  </x:cols>
  <x:sheetData>
    <x:row r="1" ht="18.310546875" hidden="0" customHeight="1">
      <x:c r="A1" s="46" t="str">
        <x:v>年度差异来源拆解（逐年看利润差在哪里）</x:v>
      </x:c>
      <x:c r="B1" s="46"/>
      <x:c r="C1" s="46"/>
      <x:c r="D1" s="46"/>
      <x:c r="E1" s="46"/>
      <x:c r="F1" s="46"/>
      <x:c r="G1" s="46"/>
      <x:c r="H1" s="46"/>
      <x:c r="I1" s="46"/>
      <x:c r="J1" s="46"/>
      <x:c r="K1" s="46"/>
      <x:c r="L1" s="46"/>
      <x:c r="M1" s="46"/>
      <x:c r="N1" s="46"/>
      <x:c r="O1" s="46"/>
      <x:c r="P1" s="46"/>
      <x:c r="Q1" s="46"/>
      <x:c r="R1" s="46"/>
    </x:row>
    <x:row r="2" ht="36" hidden="0" customHeight="1">
      <x:c r="A2" s="22" t="str">
        <x:v>阅读方法：先看甲方侧的D~H列，再看核心服务方侧的I~Q列。与EMC相比，差额到底来自“收入更多”“运维成本更高/更低”还是“第10年残值归属”，都在同一行直接展开。</x:v>
      </x:c>
      <x:c r="B2" s="22"/>
      <x:c r="C2" s="22"/>
      <x:c r="D2" s="22"/>
      <x:c r="E2" s="22"/>
      <x:c r="F2" s="22"/>
      <x:c r="G2" s="22"/>
      <x:c r="H2" s="22"/>
      <x:c r="I2" s="22"/>
      <x:c r="J2" s="22"/>
      <x:c r="K2" s="22"/>
      <x:c r="L2" s="22"/>
      <x:c r="M2" s="22"/>
      <x:c r="N2" s="22"/>
      <x:c r="O2" s="22"/>
      <x:c r="P2" s="22"/>
      <x:c r="Q2" s="22"/>
      <x:c r="R2" s="22"/>
    </x:row>
    <x:row r="3"/>
    <x:row r="4" ht="15" hidden="0" customHeight="1">
      <x:c r="A4" s="41" t="str">
        <x:v>模式</x:v>
      </x:c>
      <x:c r="B4" s="41" t="str">
        <x:v>年份</x:v>
      </x:c>
      <x:c r="C4" s="41" t="str">
        <x:v>业主年总投入</x:v>
      </x:c>
      <x:c r="D4" s="41" t="str">
        <x:v>业主自付电费</x:v>
      </x:c>
      <x:c r="E4" s="41" t="str">
        <x:v>业主自付运维</x:v>
      </x:c>
      <x:c r="F4" s="41" t="str">
        <x:v>支付给核心服务方</x:v>
      </x:c>
      <x:c r="G4" s="41" t="str">
        <x:v>甲方增量收益</x:v>
      </x:c>
      <x:c r="H4" s="41" t="str">
        <x:v>甲方较EMC差额</x:v>
      </x:c>
      <x:c r="I4" s="41" t="str">
        <x:v>核心服务方收入</x:v>
      </x:c>
      <x:c r="J4" s="41" t="str">
        <x:v>直接运营成本</x:v>
      </x:c>
      <x:c r="K4" s="41" t="str">
        <x:v>债务偿付</x:v>
      </x:c>
      <x:c r="L4" s="41" t="str">
        <x:v>残值归服务方</x:v>
      </x:c>
      <x:c r="M4" s="41" t="str">
        <x:v>核心服务方净经营现金</x:v>
      </x:c>
      <x:c r="N4" s="41" t="str">
        <x:v>收入较EMC差额</x:v>
      </x:c>
      <x:c r="O4" s="41" t="str">
        <x:v>运营成本较EMC差额</x:v>
      </x:c>
      <x:c r="P4" s="41" t="str">
        <x:v>残值较EMC差额</x:v>
      </x:c>
      <x:c r="Q4" s="41" t="str">
        <x:v>净现金较EMC差额</x:v>
      </x:c>
      <x:c r="R4" s="41" t="str">
        <x:v>差异主要来自</x:v>
      </x:c>
    </x:row>
    <x:row r="5"/>
    <x:row r="6" ht="22" hidden="0" customHeight="1">
      <x:c r="A6" t="str">
        <x:v>EMC</x:v>
      </x:c>
      <x:c r="B6" t="n">
        <x:v>1</x:v>
      </x:c>
      <x:c r="C6" s="34" t="n">
        <x:f>'假设'!E6</x:f>
        <x:v>13100000</x:v>
      </x:c>
      <x:c r="D6" s="34" t="n">
        <x:f>'假设'!F6</x:f>
        <x:v>7200000</x:v>
      </x:c>
      <x:c r="E6" s="34" t="n">
        <x:f>'假设'!G6</x:f>
        <x:v>2400000</x:v>
      </x:c>
      <x:c r="F6" s="34" t="n">
        <x:f>'假设'!H6</x:f>
        <x:v>3500000</x:v>
      </x:c>
      <x:c r="G6" s="34" t="n">
        <x:f>'EMC模式'!H6</x:f>
        <x:v>1900000</x:v>
      </x:c>
      <x:c r="H6" s="34" t="n">
        <x:f>G6-'EMC模式'!H6</x:f>
        <x:v>0</x:v>
      </x:c>
      <x:c r="I6" s="34" t="n">
        <x:f>'EMC模式'!K7</x:f>
        <x:v>3500000</x:v>
      </x:c>
      <x:c r="J6" s="34" t="n">
        <x:f>'EMC模式'!L7</x:f>
        <x:v>700000</x:v>
      </x:c>
      <x:c r="K6" s="34" t="n">
        <x:f>'EMC模式'!M7</x:f>
        <x:v>1426613.56131403</x:v>
      </x:c>
      <x:c r="L6" s="34" t="n">
        <x:f>'EMC模式'!N7</x:f>
        <x:v>0</x:v>
      </x:c>
      <x:c r="M6" s="34" t="n">
        <x:f>I6-J6-K6+L6</x:f>
        <x:v>1373386.43868597</x:v>
      </x:c>
      <x:c r="N6" s="34" t="n">
        <x:f>I6-'EMC模式'!K7</x:f>
        <x:v>0</x:v>
      </x:c>
      <x:c r="O6" s="34" t="n">
        <x:f>J6-'EMC模式'!L7</x:f>
        <x:v>0</x:v>
      </x:c>
      <x:c r="P6" s="34" t="n">
        <x:f>L6-'EMC模式'!N7</x:f>
        <x:v>0</x:v>
      </x:c>
      <x:c r="Q6" s="34" t="n">
        <x:f>M6-('EMC模式'!K7-'EMC模式'!L7-'EMC模式'!M7+'EMC模式'!N7)</x:f>
        <x:v>0</x:v>
      </x:c>
      <x:c r="R6" s="22" t="str">
        <x:v>EMC作为基准模式：业主自付电费+运维，服务方主要赚节能服务费</x:v>
      </x:c>
    </x:row>
    <x:row r="7" ht="22" hidden="0" customHeight="1">
      <x:c r="A7" t="str">
        <x:v>EMC</x:v>
      </x:c>
      <x:c r="B7" t="n">
        <x:v>2</x:v>
      </x:c>
      <x:c r="C7" s="34" t="n">
        <x:f>'假设'!E6</x:f>
        <x:v>13100000</x:v>
      </x:c>
      <x:c r="D7" s="34" t="n">
        <x:f>'假设'!F6</x:f>
        <x:v>7200000</x:v>
      </x:c>
      <x:c r="E7" s="34" t="n">
        <x:f>'假设'!G6</x:f>
        <x:v>2400000</x:v>
      </x:c>
      <x:c r="F7" s="34" t="n">
        <x:f>'假设'!H6</x:f>
        <x:v>3500000</x:v>
      </x:c>
      <x:c r="G7" s="34" t="n">
        <x:f>'EMC模式'!H7</x:f>
        <x:v>1900000</x:v>
      </x:c>
      <x:c r="H7" s="34" t="n">
        <x:f>G7-'EMC模式'!H7</x:f>
        <x:v>0</x:v>
      </x:c>
      <x:c r="I7" s="34" t="n">
        <x:f>'EMC模式'!K8</x:f>
        <x:v>3500000</x:v>
      </x:c>
      <x:c r="J7" s="34" t="n">
        <x:f>'EMC模式'!L8</x:f>
        <x:v>700000</x:v>
      </x:c>
      <x:c r="K7" s="34" t="n">
        <x:f>'EMC模式'!M8</x:f>
        <x:v>1426613.56131403</x:v>
      </x:c>
      <x:c r="L7" s="34" t="n">
        <x:f>'EMC模式'!N8</x:f>
        <x:v>0</x:v>
      </x:c>
      <x:c r="M7" s="34" t="n">
        <x:f>I7-J7-K7+L7</x:f>
        <x:v>1373386.43868597</x:v>
      </x:c>
      <x:c r="N7" s="34" t="n">
        <x:f>I7-'EMC模式'!K8</x:f>
        <x:v>0</x:v>
      </x:c>
      <x:c r="O7" s="34" t="n">
        <x:f>J7-'EMC模式'!L8</x:f>
        <x:v>0</x:v>
      </x:c>
      <x:c r="P7" s="34" t="n">
        <x:f>L7-'EMC模式'!N8</x:f>
        <x:v>0</x:v>
      </x:c>
      <x:c r="Q7" s="34" t="n">
        <x:f>M7-('EMC模式'!K8-'EMC模式'!L8-'EMC模式'!M8+'EMC模式'!N8)</x:f>
        <x:v>0</x:v>
      </x:c>
      <x:c r="R7" s="22" t="str">
        <x:v>EMC作为基准模式：业主自付电费+运维，服务方主要赚节能服务费</x:v>
      </x:c>
    </x:row>
    <x:row r="8" ht="22" hidden="0" customHeight="1">
      <x:c r="A8" t="str">
        <x:v>EMC</x:v>
      </x:c>
      <x:c r="B8" t="n">
        <x:v>3</x:v>
      </x:c>
      <x:c r="C8" s="34" t="n">
        <x:f>'假设'!E6</x:f>
        <x:v>13100000</x:v>
      </x:c>
      <x:c r="D8" s="34" t="n">
        <x:f>'假设'!F6</x:f>
        <x:v>7200000</x:v>
      </x:c>
      <x:c r="E8" s="34" t="n">
        <x:f>'假设'!G6</x:f>
        <x:v>2400000</x:v>
      </x:c>
      <x:c r="F8" s="34" t="n">
        <x:f>'假设'!H6</x:f>
        <x:v>3500000</x:v>
      </x:c>
      <x:c r="G8" s="34" t="n">
        <x:f>'EMC模式'!H8</x:f>
        <x:v>1900000</x:v>
      </x:c>
      <x:c r="H8" s="34" t="n">
        <x:f>G8-'EMC模式'!H8</x:f>
        <x:v>0</x:v>
      </x:c>
      <x:c r="I8" s="34" t="n">
        <x:f>'EMC模式'!K9</x:f>
        <x:v>3500000</x:v>
      </x:c>
      <x:c r="J8" s="34" t="n">
        <x:f>'EMC模式'!L9</x:f>
        <x:v>700000</x:v>
      </x:c>
      <x:c r="K8" s="34" t="n">
        <x:f>'EMC模式'!M9</x:f>
        <x:v>1426613.56131403</x:v>
      </x:c>
      <x:c r="L8" s="34" t="n">
        <x:f>'EMC模式'!N9</x:f>
        <x:v>0</x:v>
      </x:c>
      <x:c r="M8" s="34" t="n">
        <x:f>I8-J8-K8+L8</x:f>
        <x:v>1373386.43868597</x:v>
      </x:c>
      <x:c r="N8" s="34" t="n">
        <x:f>I8-'EMC模式'!K9</x:f>
        <x:v>0</x:v>
      </x:c>
      <x:c r="O8" s="34" t="n">
        <x:f>J8-'EMC模式'!L9</x:f>
        <x:v>0</x:v>
      </x:c>
      <x:c r="P8" s="34" t="n">
        <x:f>L8-'EMC模式'!N9</x:f>
        <x:v>0</x:v>
      </x:c>
      <x:c r="Q8" s="34" t="n">
        <x:f>M8-('EMC模式'!K9-'EMC模式'!L9-'EMC模式'!M9+'EMC模式'!N9)</x:f>
        <x:v>0</x:v>
      </x:c>
      <x:c r="R8" s="22" t="str">
        <x:v>EMC作为基准模式：业主自付电费+运维，服务方主要赚节能服务费</x:v>
      </x:c>
    </x:row>
    <x:row r="9" ht="22" hidden="0" customHeight="1">
      <x:c r="A9" t="str">
        <x:v>EMC</x:v>
      </x:c>
      <x:c r="B9" t="n">
        <x:v>4</x:v>
      </x:c>
      <x:c r="C9" s="34" t="n">
        <x:f>'假设'!E6</x:f>
        <x:v>13100000</x:v>
      </x:c>
      <x:c r="D9" s="34" t="n">
        <x:f>'假设'!F6</x:f>
        <x:v>7200000</x:v>
      </x:c>
      <x:c r="E9" s="34" t="n">
        <x:f>'假设'!G6</x:f>
        <x:v>2400000</x:v>
      </x:c>
      <x:c r="F9" s="34" t="n">
        <x:f>'假设'!H6</x:f>
        <x:v>3500000</x:v>
      </x:c>
      <x:c r="G9" s="34" t="n">
        <x:f>'EMC模式'!H9</x:f>
        <x:v>1900000</x:v>
      </x:c>
      <x:c r="H9" s="34" t="n">
        <x:f>G9-'EMC模式'!H9</x:f>
        <x:v>0</x:v>
      </x:c>
      <x:c r="I9" s="34" t="n">
        <x:f>'EMC模式'!K10</x:f>
        <x:v>3500000</x:v>
      </x:c>
      <x:c r="J9" s="34" t="n">
        <x:f>'EMC模式'!L10</x:f>
        <x:v>700000</x:v>
      </x:c>
      <x:c r="K9" s="34" t="n">
        <x:f>'EMC模式'!M10</x:f>
        <x:v>1426613.56131403</x:v>
      </x:c>
      <x:c r="L9" s="34" t="n">
        <x:f>'EMC模式'!N10</x:f>
        <x:v>0</x:v>
      </x:c>
      <x:c r="M9" s="34" t="n">
        <x:f>I9-J9-K9+L9</x:f>
        <x:v>1373386.43868597</x:v>
      </x:c>
      <x:c r="N9" s="34" t="n">
        <x:f>I9-'EMC模式'!K10</x:f>
        <x:v>0</x:v>
      </x:c>
      <x:c r="O9" s="34" t="n">
        <x:f>J9-'EMC模式'!L10</x:f>
        <x:v>0</x:v>
      </x:c>
      <x:c r="P9" s="34" t="n">
        <x:f>L9-'EMC模式'!N10</x:f>
        <x:v>0</x:v>
      </x:c>
      <x:c r="Q9" s="34" t="n">
        <x:f>M9-('EMC模式'!K10-'EMC模式'!L10-'EMC模式'!M10+'EMC模式'!N10)</x:f>
        <x:v>0</x:v>
      </x:c>
      <x:c r="R9" s="22" t="str">
        <x:v>EMC作为基准模式：业主自付电费+运维，服务方主要赚节能服务费</x:v>
      </x:c>
    </x:row>
    <x:row r="10" ht="22" hidden="0" customHeight="1">
      <x:c r="A10" t="str">
        <x:v>EMC</x:v>
      </x:c>
      <x:c r="B10" t="n">
        <x:v>5</x:v>
      </x:c>
      <x:c r="C10" s="34" t="n">
        <x:f>'假设'!E6</x:f>
        <x:v>13100000</x:v>
      </x:c>
      <x:c r="D10" s="34" t="n">
        <x:f>'假设'!F6</x:f>
        <x:v>7200000</x:v>
      </x:c>
      <x:c r="E10" s="34" t="n">
        <x:f>'假设'!G6</x:f>
        <x:v>2400000</x:v>
      </x:c>
      <x:c r="F10" s="34" t="n">
        <x:f>'假设'!H6</x:f>
        <x:v>3500000</x:v>
      </x:c>
      <x:c r="G10" s="34" t="n">
        <x:f>'EMC模式'!H10</x:f>
        <x:v>1900000</x:v>
      </x:c>
      <x:c r="H10" s="34" t="n">
        <x:f>G10-'EMC模式'!H10</x:f>
        <x:v>0</x:v>
      </x:c>
      <x:c r="I10" s="34" t="n">
        <x:f>'EMC模式'!K11</x:f>
        <x:v>3500000</x:v>
      </x:c>
      <x:c r="J10" s="34" t="n">
        <x:f>'EMC模式'!L11</x:f>
        <x:v>700000</x:v>
      </x:c>
      <x:c r="K10" s="34" t="n">
        <x:f>'EMC模式'!M11</x:f>
        <x:v>1426613.56131403</x:v>
      </x:c>
      <x:c r="L10" s="34" t="n">
        <x:f>'EMC模式'!N11</x:f>
        <x:v>0</x:v>
      </x:c>
      <x:c r="M10" s="34" t="n">
        <x:f>I10-J10-K10+L10</x:f>
        <x:v>1373386.43868597</x:v>
      </x:c>
      <x:c r="N10" s="34" t="n">
        <x:f>I10-'EMC模式'!K11</x:f>
        <x:v>0</x:v>
      </x:c>
      <x:c r="O10" s="34" t="n">
        <x:f>J10-'EMC模式'!L11</x:f>
        <x:v>0</x:v>
      </x:c>
      <x:c r="P10" s="34" t="n">
        <x:f>L10-'EMC模式'!N11</x:f>
        <x:v>0</x:v>
      </x:c>
      <x:c r="Q10" s="34" t="n">
        <x:f>M10-('EMC模式'!K11-'EMC模式'!L11-'EMC模式'!M11+'EMC模式'!N11)</x:f>
        <x:v>0</x:v>
      </x:c>
      <x:c r="R10" s="22" t="str">
        <x:v>EMC作为基准模式：业主自付电费+运维，服务方主要赚节能服务费</x:v>
      </x:c>
    </x:row>
    <x:row r="11" ht="22" hidden="0" customHeight="1">
      <x:c r="A11" t="str">
        <x:v>EMC</x:v>
      </x:c>
      <x:c r="B11" t="n">
        <x:v>6</x:v>
      </x:c>
      <x:c r="C11" s="34" t="n">
        <x:f>'假设'!E6</x:f>
        <x:v>13100000</x:v>
      </x:c>
      <x:c r="D11" s="34" t="n">
        <x:f>'假设'!F6</x:f>
        <x:v>7200000</x:v>
      </x:c>
      <x:c r="E11" s="34" t="n">
        <x:f>'假设'!G6</x:f>
        <x:v>2400000</x:v>
      </x:c>
      <x:c r="F11" s="34" t="n">
        <x:f>'假设'!H6</x:f>
        <x:v>3500000</x:v>
      </x:c>
      <x:c r="G11" s="34" t="n">
        <x:f>'EMC模式'!H11</x:f>
        <x:v>1900000</x:v>
      </x:c>
      <x:c r="H11" s="34" t="n">
        <x:f>G11-'EMC模式'!H11</x:f>
        <x:v>0</x:v>
      </x:c>
      <x:c r="I11" s="34" t="n">
        <x:f>'EMC模式'!K12</x:f>
        <x:v>3500000</x:v>
      </x:c>
      <x:c r="J11" s="34" t="n">
        <x:f>'EMC模式'!L12</x:f>
        <x:v>700000</x:v>
      </x:c>
      <x:c r="K11" s="34" t="n">
        <x:f>'EMC模式'!M12</x:f>
        <x:v>1426613.56131403</x:v>
      </x:c>
      <x:c r="L11" s="34" t="n">
        <x:f>'EMC模式'!N12</x:f>
        <x:v>0</x:v>
      </x:c>
      <x:c r="M11" s="34" t="n">
        <x:f>I11-J11-K11+L11</x:f>
        <x:v>1373386.43868597</x:v>
      </x:c>
      <x:c r="N11" s="34" t="n">
        <x:f>I11-'EMC模式'!K12</x:f>
        <x:v>0</x:v>
      </x:c>
      <x:c r="O11" s="34" t="n">
        <x:f>J11-'EMC模式'!L12</x:f>
        <x:v>0</x:v>
      </x:c>
      <x:c r="P11" s="34" t="n">
        <x:f>L11-'EMC模式'!N12</x:f>
        <x:v>0</x:v>
      </x:c>
      <x:c r="Q11" s="34" t="n">
        <x:f>M11-('EMC模式'!K12-'EMC模式'!L12-'EMC模式'!M12+'EMC模式'!N12)</x:f>
        <x:v>0</x:v>
      </x:c>
      <x:c r="R11" s="22" t="str">
        <x:v>EMC作为基准模式：业主自付电费+运维，服务方主要赚节能服务费</x:v>
      </x:c>
    </x:row>
    <x:row r="12" ht="22" hidden="0" customHeight="1">
      <x:c r="A12" t="str">
        <x:v>EMC</x:v>
      </x:c>
      <x:c r="B12" t="n">
        <x:v>7</x:v>
      </x:c>
      <x:c r="C12" s="34" t="n">
        <x:f>'假设'!E6</x:f>
        <x:v>13100000</x:v>
      </x:c>
      <x:c r="D12" s="34" t="n">
        <x:f>'假设'!F6</x:f>
        <x:v>7200000</x:v>
      </x:c>
      <x:c r="E12" s="34" t="n">
        <x:f>'假设'!G6</x:f>
        <x:v>2400000</x:v>
      </x:c>
      <x:c r="F12" s="34" t="n">
        <x:f>'假设'!H6</x:f>
        <x:v>3500000</x:v>
      </x:c>
      <x:c r="G12" s="34" t="n">
        <x:f>'EMC模式'!H12</x:f>
        <x:v>1900000</x:v>
      </x:c>
      <x:c r="H12" s="34" t="n">
        <x:f>G12-'EMC模式'!H12</x:f>
        <x:v>0</x:v>
      </x:c>
      <x:c r="I12" s="34" t="n">
        <x:f>'EMC模式'!K13</x:f>
        <x:v>3500000</x:v>
      </x:c>
      <x:c r="J12" s="34" t="n">
        <x:f>'EMC模式'!L13</x:f>
        <x:v>700000</x:v>
      </x:c>
      <x:c r="K12" s="34" t="n">
        <x:f>'EMC模式'!M13</x:f>
        <x:v>1426613.56131403</x:v>
      </x:c>
      <x:c r="L12" s="34" t="n">
        <x:f>'EMC模式'!N13</x:f>
        <x:v>0</x:v>
      </x:c>
      <x:c r="M12" s="34" t="n">
        <x:f>I12-J12-K12+L12</x:f>
        <x:v>1373386.43868597</x:v>
      </x:c>
      <x:c r="N12" s="34" t="n">
        <x:f>I12-'EMC模式'!K13</x:f>
        <x:v>0</x:v>
      </x:c>
      <x:c r="O12" s="34" t="n">
        <x:f>J12-'EMC模式'!L13</x:f>
        <x:v>0</x:v>
      </x:c>
      <x:c r="P12" s="34" t="n">
        <x:f>L12-'EMC模式'!N13</x:f>
        <x:v>0</x:v>
      </x:c>
      <x:c r="Q12" s="34" t="n">
        <x:f>M12-('EMC模式'!K13-'EMC模式'!L13-'EMC模式'!M13+'EMC模式'!N13)</x:f>
        <x:v>0</x:v>
      </x:c>
      <x:c r="R12" s="22" t="str">
        <x:v>EMC作为基准模式：业主自付电费+运维，服务方主要赚节能服务费</x:v>
      </x:c>
    </x:row>
    <x:row r="13" ht="22" hidden="0" customHeight="1">
      <x:c r="A13" t="str">
        <x:v>EMC</x:v>
      </x:c>
      <x:c r="B13" t="n">
        <x:v>8</x:v>
      </x:c>
      <x:c r="C13" s="34" t="n">
        <x:f>'假设'!E6</x:f>
        <x:v>13100000</x:v>
      </x:c>
      <x:c r="D13" s="34" t="n">
        <x:f>'假设'!F6</x:f>
        <x:v>7200000</x:v>
      </x:c>
      <x:c r="E13" s="34" t="n">
        <x:f>'假设'!G6</x:f>
        <x:v>2400000</x:v>
      </x:c>
      <x:c r="F13" s="34" t="n">
        <x:f>'假设'!H6</x:f>
        <x:v>3500000</x:v>
      </x:c>
      <x:c r="G13" s="34" t="n">
        <x:f>'EMC模式'!H13</x:f>
        <x:v>1900000</x:v>
      </x:c>
      <x:c r="H13" s="34" t="n">
        <x:f>G13-'EMC模式'!H13</x:f>
        <x:v>0</x:v>
      </x:c>
      <x:c r="I13" s="34" t="n">
        <x:f>'EMC模式'!K14</x:f>
        <x:v>3500000</x:v>
      </x:c>
      <x:c r="J13" s="34" t="n">
        <x:f>'EMC模式'!L14</x:f>
        <x:v>700000</x:v>
      </x:c>
      <x:c r="K13" s="34" t="n">
        <x:f>'EMC模式'!M14</x:f>
        <x:v>1426613.56131403</x:v>
      </x:c>
      <x:c r="L13" s="34" t="n">
        <x:f>'EMC模式'!N14</x:f>
        <x:v>0</x:v>
      </x:c>
      <x:c r="M13" s="34" t="n">
        <x:f>I13-J13-K13+L13</x:f>
        <x:v>1373386.43868597</x:v>
      </x:c>
      <x:c r="N13" s="34" t="n">
        <x:f>I13-'EMC模式'!K14</x:f>
        <x:v>0</x:v>
      </x:c>
      <x:c r="O13" s="34" t="n">
        <x:f>J13-'EMC模式'!L14</x:f>
        <x:v>0</x:v>
      </x:c>
      <x:c r="P13" s="34" t="n">
        <x:f>L13-'EMC模式'!N14</x:f>
        <x:v>0</x:v>
      </x:c>
      <x:c r="Q13" s="34" t="n">
        <x:f>M13-('EMC模式'!K14-'EMC模式'!L14-'EMC模式'!M14+'EMC模式'!N14)</x:f>
        <x:v>0</x:v>
      </x:c>
      <x:c r="R13" s="22" t="str">
        <x:v>EMC作为基准模式：业主自付电费+运维，服务方主要赚节能服务费</x:v>
      </x:c>
    </x:row>
    <x:row r="14" ht="22" hidden="0" customHeight="1">
      <x:c r="A14" t="str">
        <x:v>EMC</x:v>
      </x:c>
      <x:c r="B14" t="n">
        <x:v>9</x:v>
      </x:c>
      <x:c r="C14" s="34" t="n">
        <x:f>'假设'!E6</x:f>
        <x:v>13100000</x:v>
      </x:c>
      <x:c r="D14" s="34" t="n">
        <x:f>'假设'!F6</x:f>
        <x:v>7200000</x:v>
      </x:c>
      <x:c r="E14" s="34" t="n">
        <x:f>'假设'!G6</x:f>
        <x:v>2400000</x:v>
      </x:c>
      <x:c r="F14" s="34" t="n">
        <x:f>'假设'!H6</x:f>
        <x:v>3500000</x:v>
      </x:c>
      <x:c r="G14" s="34" t="n">
        <x:f>'EMC模式'!H14</x:f>
        <x:v>1900000</x:v>
      </x:c>
      <x:c r="H14" s="34" t="n">
        <x:f>G14-'EMC模式'!H14</x:f>
        <x:v>0</x:v>
      </x:c>
      <x:c r="I14" s="34" t="n">
        <x:f>'EMC模式'!K15</x:f>
        <x:v>3500000</x:v>
      </x:c>
      <x:c r="J14" s="34" t="n">
        <x:f>'EMC模式'!L15</x:f>
        <x:v>700000</x:v>
      </x:c>
      <x:c r="K14" s="34" t="n">
        <x:f>'EMC模式'!M15</x:f>
        <x:v>1426613.56131403</x:v>
      </x:c>
      <x:c r="L14" s="34" t="n">
        <x:f>'EMC模式'!N15</x:f>
        <x:v>0</x:v>
      </x:c>
      <x:c r="M14" s="34" t="n">
        <x:f>I14-J14-K14+L14</x:f>
        <x:v>1373386.43868597</x:v>
      </x:c>
      <x:c r="N14" s="34" t="n">
        <x:f>I14-'EMC模式'!K15</x:f>
        <x:v>0</x:v>
      </x:c>
      <x:c r="O14" s="34" t="n">
        <x:f>J14-'EMC模式'!L15</x:f>
        <x:v>0</x:v>
      </x:c>
      <x:c r="P14" s="34" t="n">
        <x:f>L14-'EMC模式'!N15</x:f>
        <x:v>0</x:v>
      </x:c>
      <x:c r="Q14" s="34" t="n">
        <x:f>M14-('EMC模式'!K15-'EMC模式'!L15-'EMC模式'!M15+'EMC模式'!N15)</x:f>
        <x:v>0</x:v>
      </x:c>
      <x:c r="R14" s="22" t="str">
        <x:v>EMC作为基准模式：业主自付电费+运维，服务方主要赚节能服务费</x:v>
      </x:c>
    </x:row>
    <x:row r="15" ht="22" hidden="0" customHeight="1">
      <x:c r="A15" t="str">
        <x:v>EMC</x:v>
      </x:c>
      <x:c r="B15" t="n">
        <x:v>10</x:v>
      </x:c>
      <x:c r="C15" s="34" t="n">
        <x:f>'假设'!E6</x:f>
        <x:v>13100000</x:v>
      </x:c>
      <x:c r="D15" s="34" t="n">
        <x:f>'假设'!F6</x:f>
        <x:v>7200000</x:v>
      </x:c>
      <x:c r="E15" s="34" t="n">
        <x:f>'假设'!G6</x:f>
        <x:v>2400000</x:v>
      </x:c>
      <x:c r="F15" s="34" t="n">
        <x:f>'假设'!H6</x:f>
        <x:v>3500000</x:v>
      </x:c>
      <x:c r="G15" s="34" t="n">
        <x:f>'EMC模式'!H15</x:f>
        <x:v>4400000</x:v>
      </x:c>
      <x:c r="H15" s="34" t="n">
        <x:f>G15-'EMC模式'!H15</x:f>
        <x:v>0</x:v>
      </x:c>
      <x:c r="I15" s="34" t="n">
        <x:f>'EMC模式'!K16</x:f>
        <x:v>3500000</x:v>
      </x:c>
      <x:c r="J15" s="34" t="n">
        <x:f>'EMC模式'!L16</x:f>
        <x:v>700000</x:v>
      </x:c>
      <x:c r="K15" s="34" t="n">
        <x:f>'EMC模式'!M16</x:f>
        <x:v>1426613.56131403</x:v>
      </x:c>
      <x:c r="L15" s="34" t="n">
        <x:f>'EMC模式'!N16</x:f>
        <x:v>0</x:v>
      </x:c>
      <x:c r="M15" s="34" t="n">
        <x:f>I15-J15-K15+L15</x:f>
        <x:v>1373386.43868597</x:v>
      </x:c>
      <x:c r="N15" s="34" t="n">
        <x:f>I15-'EMC模式'!K16</x:f>
        <x:v>0</x:v>
      </x:c>
      <x:c r="O15" s="34" t="n">
        <x:f>J15-'EMC模式'!L16</x:f>
        <x:v>0</x:v>
      </x:c>
      <x:c r="P15" s="34" t="n">
        <x:f>L15-'EMC模式'!N16</x:f>
        <x:v>0</x:v>
      </x:c>
      <x:c r="Q15" s="34" t="n">
        <x:f>M15-('EMC模式'!K16-'EMC模式'!L16-'EMC模式'!M16+'EMC模式'!N16)</x:f>
        <x:v>0</x:v>
      </x:c>
      <x:c r="R15" s="22" t="str">
        <x:v>第10年含终值/残值归属；本模式下终值归甲方，因此甲方收益高于LaaS</x:v>
      </x:c>
    </x:row>
    <x:row r="16" ht="22" hidden="0" customHeight="1">
      <x:c r="A16" t="str">
        <x:v>能源托管</x:v>
      </x:c>
      <x:c r="B16" t="n">
        <x:v>1</x:v>
      </x:c>
      <x:c r="C16" s="34" t="n">
        <x:f>'假设'!E7</x:f>
        <x:v>13100000</x:v>
      </x:c>
      <x:c r="D16" s="34" t="n">
        <x:f>'假设'!F7</x:f>
        <x:v>0</x:v>
      </x:c>
      <x:c r="E16" s="34" t="n">
        <x:f>'假设'!G7</x:f>
        <x:v>0</x:v>
      </x:c>
      <x:c r="F16" s="34" t="n">
        <x:f>'假设'!H7</x:f>
        <x:v>13100000</x:v>
      </x:c>
      <x:c r="G16" s="34" t="n">
        <x:f>'能源托管模式'!H6</x:f>
        <x:v>1900000</x:v>
      </x:c>
      <x:c r="H16" s="34" t="n">
        <x:f>G16-'EMC模式'!H6</x:f>
        <x:v>0</x:v>
      </x:c>
      <x:c r="I16" s="34" t="n">
        <x:f>'能源托管模式'!K7</x:f>
        <x:v>13100000</x:v>
      </x:c>
      <x:c r="J16" s="34" t="n">
        <x:f>'能源托管模式'!L7</x:f>
        <x:v>10000000</x:v>
      </x:c>
      <x:c r="K16" s="34" t="n">
        <x:f>'能源托管模式'!M7</x:f>
        <x:v>1426613.56131403</x:v>
      </x:c>
      <x:c r="L16" s="34" t="n">
        <x:f>'能源托管模式'!N7</x:f>
        <x:v>0</x:v>
      </x:c>
      <x:c r="M16" s="34" t="n">
        <x:f>I16-J16-K16+L16</x:f>
        <x:v>1673386.43868597</x:v>
      </x:c>
      <x:c r="N16" s="34" t="n">
        <x:f>I16-'EMC模式'!K7</x:f>
        <x:v>9600000</x:v>
      </x:c>
      <x:c r="O16" s="34" t="n">
        <x:f>J16-'EMC模式'!L7</x:f>
        <x:v>9300000</x:v>
      </x:c>
      <x:c r="P16" s="34" t="n">
        <x:f>L16-'EMC模式'!N7</x:f>
        <x:v>0</x:v>
      </x:c>
      <x:c r="Q16" s="34" t="n">
        <x:f>M16-('EMC模式'!K7-'EMC模式'!L7-'EMC模式'!M7+'EMC模式'!N7)</x:f>
        <x:v>300000</x:v>
      </x:c>
      <x:c r="R16" s="22" t="str">
        <x:v>业主不再单列电费和运维，全部并入托管费；服务方收入更高，但同时承担电费与运维</x:v>
      </x:c>
    </x:row>
    <x:row r="17" ht="22" hidden="0" customHeight="1">
      <x:c r="A17" t="str">
        <x:v>能源托管</x:v>
      </x:c>
      <x:c r="B17" t="n">
        <x:v>2</x:v>
      </x:c>
      <x:c r="C17" s="34" t="n">
        <x:f>'假设'!E7</x:f>
        <x:v>13100000</x:v>
      </x:c>
      <x:c r="D17" s="34" t="n">
        <x:f>'假设'!F7</x:f>
        <x:v>0</x:v>
      </x:c>
      <x:c r="E17" s="34" t="n">
        <x:f>'假设'!G7</x:f>
        <x:v>0</x:v>
      </x:c>
      <x:c r="F17" s="34" t="n">
        <x:f>'假设'!H7</x:f>
        <x:v>13100000</x:v>
      </x:c>
      <x:c r="G17" s="34" t="n">
        <x:f>'能源托管模式'!H7</x:f>
        <x:v>1900000</x:v>
      </x:c>
      <x:c r="H17" s="34" t="n">
        <x:f>G17-'EMC模式'!H7</x:f>
        <x:v>0</x:v>
      </x:c>
      <x:c r="I17" s="34" t="n">
        <x:f>'能源托管模式'!K8</x:f>
        <x:v>13100000</x:v>
      </x:c>
      <x:c r="J17" s="34" t="n">
        <x:f>'能源托管模式'!L8</x:f>
        <x:v>10000000</x:v>
      </x:c>
      <x:c r="K17" s="34" t="n">
        <x:f>'能源托管模式'!M8</x:f>
        <x:v>1426613.56131403</x:v>
      </x:c>
      <x:c r="L17" s="34" t="n">
        <x:f>'能源托管模式'!N8</x:f>
        <x:v>0</x:v>
      </x:c>
      <x:c r="M17" s="34" t="n">
        <x:f>I17-J17-K17+L17</x:f>
        <x:v>1673386.43868597</x:v>
      </x:c>
      <x:c r="N17" s="34" t="n">
        <x:f>I17-'EMC模式'!K8</x:f>
        <x:v>9600000</x:v>
      </x:c>
      <x:c r="O17" s="34" t="n">
        <x:f>J17-'EMC模式'!L8</x:f>
        <x:v>9300000</x:v>
      </x:c>
      <x:c r="P17" s="34" t="n">
        <x:f>L17-'EMC模式'!N8</x:f>
        <x:v>0</x:v>
      </x:c>
      <x:c r="Q17" s="34" t="n">
        <x:f>M17-('EMC模式'!K8-'EMC模式'!L8-'EMC模式'!M8+'EMC模式'!N8)</x:f>
        <x:v>300000</x:v>
      </x:c>
      <x:c r="R17" s="22" t="str">
        <x:v>业主不再单列电费和运维，全部并入托管费；服务方收入更高，但同时承担电费与运维</x:v>
      </x:c>
    </x:row>
    <x:row r="18" ht="22" hidden="0" customHeight="1">
      <x:c r="A18" t="str">
        <x:v>能源托管</x:v>
      </x:c>
      <x:c r="B18" t="n">
        <x:v>3</x:v>
      </x:c>
      <x:c r="C18" s="34" t="n">
        <x:f>'假设'!E7</x:f>
        <x:v>13100000</x:v>
      </x:c>
      <x:c r="D18" s="34" t="n">
        <x:f>'假设'!F7</x:f>
        <x:v>0</x:v>
      </x:c>
      <x:c r="E18" s="34" t="n">
        <x:f>'假设'!G7</x:f>
        <x:v>0</x:v>
      </x:c>
      <x:c r="F18" s="34" t="n">
        <x:f>'假设'!H7</x:f>
        <x:v>13100000</x:v>
      </x:c>
      <x:c r="G18" s="34" t="n">
        <x:f>'能源托管模式'!H8</x:f>
        <x:v>1900000</x:v>
      </x:c>
      <x:c r="H18" s="34" t="n">
        <x:f>G18-'EMC模式'!H8</x:f>
        <x:v>0</x:v>
      </x:c>
      <x:c r="I18" s="34" t="n">
        <x:f>'能源托管模式'!K9</x:f>
        <x:v>13100000</x:v>
      </x:c>
      <x:c r="J18" s="34" t="n">
        <x:f>'能源托管模式'!L9</x:f>
        <x:v>10000000</x:v>
      </x:c>
      <x:c r="K18" s="34" t="n">
        <x:f>'能源托管模式'!M9</x:f>
        <x:v>1426613.56131403</x:v>
      </x:c>
      <x:c r="L18" s="34" t="n">
        <x:f>'能源托管模式'!N9</x:f>
        <x:v>0</x:v>
      </x:c>
      <x:c r="M18" s="34" t="n">
        <x:f>I18-J18-K18+L18</x:f>
        <x:v>1673386.43868597</x:v>
      </x:c>
      <x:c r="N18" s="34" t="n">
        <x:f>I18-'EMC模式'!K9</x:f>
        <x:v>9600000</x:v>
      </x:c>
      <x:c r="O18" s="34" t="n">
        <x:f>J18-'EMC模式'!L9</x:f>
        <x:v>9300000</x:v>
      </x:c>
      <x:c r="P18" s="34" t="n">
        <x:f>L18-'EMC模式'!N9</x:f>
        <x:v>0</x:v>
      </x:c>
      <x:c r="Q18" s="34" t="n">
        <x:f>M18-('EMC模式'!K9-'EMC模式'!L9-'EMC模式'!M9+'EMC模式'!N9)</x:f>
        <x:v>300000</x:v>
      </x:c>
      <x:c r="R18" s="22" t="str">
        <x:v>业主不再单列电费和运维，全部并入托管费；服务方收入更高，但同时承担电费与运维</x:v>
      </x:c>
    </x:row>
    <x:row r="19" ht="22" hidden="0" customHeight="1">
      <x:c r="A19" t="str">
        <x:v>能源托管</x:v>
      </x:c>
      <x:c r="B19" t="n">
        <x:v>4</x:v>
      </x:c>
      <x:c r="C19" s="34" t="n">
        <x:f>'假设'!E7</x:f>
        <x:v>13100000</x:v>
      </x:c>
      <x:c r="D19" s="34" t="n">
        <x:f>'假设'!F7</x:f>
        <x:v>0</x:v>
      </x:c>
      <x:c r="E19" s="34" t="n">
        <x:f>'假设'!G7</x:f>
        <x:v>0</x:v>
      </x:c>
      <x:c r="F19" s="34" t="n">
        <x:f>'假设'!H7</x:f>
        <x:v>13100000</x:v>
      </x:c>
      <x:c r="G19" s="34" t="n">
        <x:f>'能源托管模式'!H9</x:f>
        <x:v>1900000</x:v>
      </x:c>
      <x:c r="H19" s="34" t="n">
        <x:f>G19-'EMC模式'!H9</x:f>
        <x:v>0</x:v>
      </x:c>
      <x:c r="I19" s="34" t="n">
        <x:f>'能源托管模式'!K10</x:f>
        <x:v>13100000</x:v>
      </x:c>
      <x:c r="J19" s="34" t="n">
        <x:f>'能源托管模式'!L10</x:f>
        <x:v>10000000</x:v>
      </x:c>
      <x:c r="K19" s="34" t="n">
        <x:f>'能源托管模式'!M10</x:f>
        <x:v>1426613.56131403</x:v>
      </x:c>
      <x:c r="L19" s="34" t="n">
        <x:f>'能源托管模式'!N10</x:f>
        <x:v>0</x:v>
      </x:c>
      <x:c r="M19" s="34" t="n">
        <x:f>I19-J19-K19+L19</x:f>
        <x:v>1673386.43868597</x:v>
      </x:c>
      <x:c r="N19" s="34" t="n">
        <x:f>I19-'EMC模式'!K10</x:f>
        <x:v>9600000</x:v>
      </x:c>
      <x:c r="O19" s="34" t="n">
        <x:f>J19-'EMC模式'!L10</x:f>
        <x:v>9300000</x:v>
      </x:c>
      <x:c r="P19" s="34" t="n">
        <x:f>L19-'EMC模式'!N10</x:f>
        <x:v>0</x:v>
      </x:c>
      <x:c r="Q19" s="34" t="n">
        <x:f>M19-('EMC模式'!K10-'EMC模式'!L10-'EMC模式'!M10+'EMC模式'!N10)</x:f>
        <x:v>300000</x:v>
      </x:c>
      <x:c r="R19" s="22" t="str">
        <x:v>业主不再单列电费和运维，全部并入托管费；服务方收入更高，但同时承担电费与运维</x:v>
      </x:c>
    </x:row>
    <x:row r="20" ht="22" hidden="0" customHeight="1">
      <x:c r="A20" t="str">
        <x:v>能源托管</x:v>
      </x:c>
      <x:c r="B20" t="n">
        <x:v>5</x:v>
      </x:c>
      <x:c r="C20" s="34" t="n">
        <x:f>'假设'!E7</x:f>
        <x:v>13100000</x:v>
      </x:c>
      <x:c r="D20" s="34" t="n">
        <x:f>'假设'!F7</x:f>
        <x:v>0</x:v>
      </x:c>
      <x:c r="E20" s="34" t="n">
        <x:f>'假设'!G7</x:f>
        <x:v>0</x:v>
      </x:c>
      <x:c r="F20" s="34" t="n">
        <x:f>'假设'!H7</x:f>
        <x:v>13100000</x:v>
      </x:c>
      <x:c r="G20" s="34" t="n">
        <x:f>'能源托管模式'!H10</x:f>
        <x:v>1900000</x:v>
      </x:c>
      <x:c r="H20" s="34" t="n">
        <x:f>G20-'EMC模式'!H10</x:f>
        <x:v>0</x:v>
      </x:c>
      <x:c r="I20" s="34" t="n">
        <x:f>'能源托管模式'!K11</x:f>
        <x:v>13100000</x:v>
      </x:c>
      <x:c r="J20" s="34" t="n">
        <x:f>'能源托管模式'!L11</x:f>
        <x:v>10000000</x:v>
      </x:c>
      <x:c r="K20" s="34" t="n">
        <x:f>'能源托管模式'!M11</x:f>
        <x:v>1426613.56131403</x:v>
      </x:c>
      <x:c r="L20" s="34" t="n">
        <x:f>'能源托管模式'!N11</x:f>
        <x:v>0</x:v>
      </x:c>
      <x:c r="M20" s="34" t="n">
        <x:f>I20-J20-K20+L20</x:f>
        <x:v>1673386.43868597</x:v>
      </x:c>
      <x:c r="N20" s="34" t="n">
        <x:f>I20-'EMC模式'!K11</x:f>
        <x:v>9600000</x:v>
      </x:c>
      <x:c r="O20" s="34" t="n">
        <x:f>J20-'EMC模式'!L11</x:f>
        <x:v>9300000</x:v>
      </x:c>
      <x:c r="P20" s="34" t="n">
        <x:f>L20-'EMC模式'!N11</x:f>
        <x:v>0</x:v>
      </x:c>
      <x:c r="Q20" s="34" t="n">
        <x:f>M20-('EMC模式'!K11-'EMC模式'!L11-'EMC模式'!M11+'EMC模式'!N11)</x:f>
        <x:v>300000</x:v>
      </x:c>
      <x:c r="R20" s="22" t="str">
        <x:v>业主不再单列电费和运维，全部并入托管费；服务方收入更高，但同时承担电费与运维</x:v>
      </x:c>
    </x:row>
    <x:row r="21" ht="22" hidden="0" customHeight="1">
      <x:c r="A21" t="str">
        <x:v>能源托管</x:v>
      </x:c>
      <x:c r="B21" t="n">
        <x:v>6</x:v>
      </x:c>
      <x:c r="C21" s="34" t="n">
        <x:f>'假设'!E7</x:f>
        <x:v>13100000</x:v>
      </x:c>
      <x:c r="D21" s="34" t="n">
        <x:f>'假设'!F7</x:f>
        <x:v>0</x:v>
      </x:c>
      <x:c r="E21" s="34" t="n">
        <x:f>'假设'!G7</x:f>
        <x:v>0</x:v>
      </x:c>
      <x:c r="F21" s="34" t="n">
        <x:f>'假设'!H7</x:f>
        <x:v>13100000</x:v>
      </x:c>
      <x:c r="G21" s="34" t="n">
        <x:f>'能源托管模式'!H11</x:f>
        <x:v>1900000</x:v>
      </x:c>
      <x:c r="H21" s="34" t="n">
        <x:f>G21-'EMC模式'!H11</x:f>
        <x:v>0</x:v>
      </x:c>
      <x:c r="I21" s="34" t="n">
        <x:f>'能源托管模式'!K12</x:f>
        <x:v>13100000</x:v>
      </x:c>
      <x:c r="J21" s="34" t="n">
        <x:f>'能源托管模式'!L12</x:f>
        <x:v>10000000</x:v>
      </x:c>
      <x:c r="K21" s="34" t="n">
        <x:f>'能源托管模式'!M12</x:f>
        <x:v>1426613.56131403</x:v>
      </x:c>
      <x:c r="L21" s="34" t="n">
        <x:f>'能源托管模式'!N12</x:f>
        <x:v>0</x:v>
      </x:c>
      <x:c r="M21" s="34" t="n">
        <x:f>I21-J21-K21+L21</x:f>
        <x:v>1673386.43868597</x:v>
      </x:c>
      <x:c r="N21" s="34" t="n">
        <x:f>I21-'EMC模式'!K12</x:f>
        <x:v>9600000</x:v>
      </x:c>
      <x:c r="O21" s="34" t="n">
        <x:f>J21-'EMC模式'!L12</x:f>
        <x:v>9300000</x:v>
      </x:c>
      <x:c r="P21" s="34" t="n">
        <x:f>L21-'EMC模式'!N12</x:f>
        <x:v>0</x:v>
      </x:c>
      <x:c r="Q21" s="34" t="n">
        <x:f>M21-('EMC模式'!K12-'EMC模式'!L12-'EMC模式'!M12+'EMC模式'!N12)</x:f>
        <x:v>300000</x:v>
      </x:c>
      <x:c r="R21" s="22" t="str">
        <x:v>业主不再单列电费和运维，全部并入托管费；服务方收入更高，但同时承担电费与运维</x:v>
      </x:c>
    </x:row>
    <x:row r="22" ht="22" hidden="0" customHeight="1">
      <x:c r="A22" t="str">
        <x:v>能源托管</x:v>
      </x:c>
      <x:c r="B22" t="n">
        <x:v>7</x:v>
      </x:c>
      <x:c r="C22" s="34" t="n">
        <x:f>'假设'!E7</x:f>
        <x:v>13100000</x:v>
      </x:c>
      <x:c r="D22" s="34" t="n">
        <x:f>'假设'!F7</x:f>
        <x:v>0</x:v>
      </x:c>
      <x:c r="E22" s="34" t="n">
        <x:f>'假设'!G7</x:f>
        <x:v>0</x:v>
      </x:c>
      <x:c r="F22" s="34" t="n">
        <x:f>'假设'!H7</x:f>
        <x:v>13100000</x:v>
      </x:c>
      <x:c r="G22" s="34" t="n">
        <x:f>'能源托管模式'!H12</x:f>
        <x:v>1900000</x:v>
      </x:c>
      <x:c r="H22" s="34" t="n">
        <x:f>G22-'EMC模式'!H12</x:f>
        <x:v>0</x:v>
      </x:c>
      <x:c r="I22" s="34" t="n">
        <x:f>'能源托管模式'!K13</x:f>
        <x:v>13100000</x:v>
      </x:c>
      <x:c r="J22" s="34" t="n">
        <x:f>'能源托管模式'!L13</x:f>
        <x:v>10000000</x:v>
      </x:c>
      <x:c r="K22" s="34" t="n">
        <x:f>'能源托管模式'!M13</x:f>
        <x:v>1426613.56131403</x:v>
      </x:c>
      <x:c r="L22" s="34" t="n">
        <x:f>'能源托管模式'!N13</x:f>
        <x:v>0</x:v>
      </x:c>
      <x:c r="M22" s="34" t="n">
        <x:f>I22-J22-K22+L22</x:f>
        <x:v>1673386.43868597</x:v>
      </x:c>
      <x:c r="N22" s="34" t="n">
        <x:f>I22-'EMC模式'!K13</x:f>
        <x:v>9600000</x:v>
      </x:c>
      <x:c r="O22" s="34" t="n">
        <x:f>J22-'EMC模式'!L13</x:f>
        <x:v>9300000</x:v>
      </x:c>
      <x:c r="P22" s="34" t="n">
        <x:f>L22-'EMC模式'!N13</x:f>
        <x:v>0</x:v>
      </x:c>
      <x:c r="Q22" s="34" t="n">
        <x:f>M22-('EMC模式'!K13-'EMC模式'!L13-'EMC模式'!M13+'EMC模式'!N13)</x:f>
        <x:v>300000</x:v>
      </x:c>
      <x:c r="R22" s="22" t="str">
        <x:v>业主不再单列电费和运维，全部并入托管费；服务方收入更高，但同时承担电费与运维</x:v>
      </x:c>
    </x:row>
    <x:row r="23" ht="22" hidden="0" customHeight="1">
      <x:c r="A23" t="str">
        <x:v>能源托管</x:v>
      </x:c>
      <x:c r="B23" t="n">
        <x:v>8</x:v>
      </x:c>
      <x:c r="C23" s="34" t="n">
        <x:f>'假设'!E7</x:f>
        <x:v>13100000</x:v>
      </x:c>
      <x:c r="D23" s="34" t="n">
        <x:f>'假设'!F7</x:f>
        <x:v>0</x:v>
      </x:c>
      <x:c r="E23" s="34" t="n">
        <x:f>'假设'!G7</x:f>
        <x:v>0</x:v>
      </x:c>
      <x:c r="F23" s="34" t="n">
        <x:f>'假设'!H7</x:f>
        <x:v>13100000</x:v>
      </x:c>
      <x:c r="G23" s="34" t="n">
        <x:f>'能源托管模式'!H13</x:f>
        <x:v>1900000</x:v>
      </x:c>
      <x:c r="H23" s="34" t="n">
        <x:f>G23-'EMC模式'!H13</x:f>
        <x:v>0</x:v>
      </x:c>
      <x:c r="I23" s="34" t="n">
        <x:f>'能源托管模式'!K14</x:f>
        <x:v>13100000</x:v>
      </x:c>
      <x:c r="J23" s="34" t="n">
        <x:f>'能源托管模式'!L14</x:f>
        <x:v>10000000</x:v>
      </x:c>
      <x:c r="K23" s="34" t="n">
        <x:f>'能源托管模式'!M14</x:f>
        <x:v>1426613.56131403</x:v>
      </x:c>
      <x:c r="L23" s="34" t="n">
        <x:f>'能源托管模式'!N14</x:f>
        <x:v>0</x:v>
      </x:c>
      <x:c r="M23" s="34" t="n">
        <x:f>I23-J23-K23+L23</x:f>
        <x:v>1673386.43868597</x:v>
      </x:c>
      <x:c r="N23" s="34" t="n">
        <x:f>I23-'EMC模式'!K14</x:f>
        <x:v>9600000</x:v>
      </x:c>
      <x:c r="O23" s="34" t="n">
        <x:f>J23-'EMC模式'!L14</x:f>
        <x:v>9300000</x:v>
      </x:c>
      <x:c r="P23" s="34" t="n">
        <x:f>L23-'EMC模式'!N14</x:f>
        <x:v>0</x:v>
      </x:c>
      <x:c r="Q23" s="34" t="n">
        <x:f>M23-('EMC模式'!K14-'EMC模式'!L14-'EMC模式'!M14+'EMC模式'!N14)</x:f>
        <x:v>300000</x:v>
      </x:c>
      <x:c r="R23" s="22" t="str">
        <x:v>业主不再单列电费和运维，全部并入托管费；服务方收入更高，但同时承担电费与运维</x:v>
      </x:c>
    </x:row>
    <x:row r="24" ht="22" hidden="0" customHeight="1">
      <x:c r="A24" t="str">
        <x:v>能源托管</x:v>
      </x:c>
      <x:c r="B24" t="n">
        <x:v>9</x:v>
      </x:c>
      <x:c r="C24" s="34" t="n">
        <x:f>'假设'!E7</x:f>
        <x:v>13100000</x:v>
      </x:c>
      <x:c r="D24" s="34" t="n">
        <x:f>'假设'!F7</x:f>
        <x:v>0</x:v>
      </x:c>
      <x:c r="E24" s="34" t="n">
        <x:f>'假设'!G7</x:f>
        <x:v>0</x:v>
      </x:c>
      <x:c r="F24" s="34" t="n">
        <x:f>'假设'!H7</x:f>
        <x:v>13100000</x:v>
      </x:c>
      <x:c r="G24" s="34" t="n">
        <x:f>'能源托管模式'!H14</x:f>
        <x:v>1900000</x:v>
      </x:c>
      <x:c r="H24" s="34" t="n">
        <x:f>G24-'EMC模式'!H14</x:f>
        <x:v>0</x:v>
      </x:c>
      <x:c r="I24" s="34" t="n">
        <x:f>'能源托管模式'!K15</x:f>
        <x:v>13100000</x:v>
      </x:c>
      <x:c r="J24" s="34" t="n">
        <x:f>'能源托管模式'!L15</x:f>
        <x:v>10000000</x:v>
      </x:c>
      <x:c r="K24" s="34" t="n">
        <x:f>'能源托管模式'!M15</x:f>
        <x:v>1426613.56131403</x:v>
      </x:c>
      <x:c r="L24" s="34" t="n">
        <x:f>'能源托管模式'!N15</x:f>
        <x:v>0</x:v>
      </x:c>
      <x:c r="M24" s="34" t="n">
        <x:f>I24-J24-K24+L24</x:f>
        <x:v>1673386.43868597</x:v>
      </x:c>
      <x:c r="N24" s="34" t="n">
        <x:f>I24-'EMC模式'!K15</x:f>
        <x:v>9600000</x:v>
      </x:c>
      <x:c r="O24" s="34" t="n">
        <x:f>J24-'EMC模式'!L15</x:f>
        <x:v>9300000</x:v>
      </x:c>
      <x:c r="P24" s="34" t="n">
        <x:f>L24-'EMC模式'!N15</x:f>
        <x:v>0</x:v>
      </x:c>
      <x:c r="Q24" s="34" t="n">
        <x:f>M24-('EMC模式'!K15-'EMC模式'!L15-'EMC模式'!M15+'EMC模式'!N15)</x:f>
        <x:v>300000</x:v>
      </x:c>
      <x:c r="R24" s="22" t="str">
        <x:v>业主不再单列电费和运维，全部并入托管费；服务方收入更高，但同时承担电费与运维</x:v>
      </x:c>
    </x:row>
    <x:row r="25" ht="22" hidden="0" customHeight="1">
      <x:c r="A25" t="str">
        <x:v>能源托管</x:v>
      </x:c>
      <x:c r="B25" t="n">
        <x:v>10</x:v>
      </x:c>
      <x:c r="C25" s="34" t="n">
        <x:f>'假设'!E7</x:f>
        <x:v>13100000</x:v>
      </x:c>
      <x:c r="D25" s="34" t="n">
        <x:f>'假设'!F7</x:f>
        <x:v>0</x:v>
      </x:c>
      <x:c r="E25" s="34" t="n">
        <x:f>'假设'!G7</x:f>
        <x:v>0</x:v>
      </x:c>
      <x:c r="F25" s="34" t="n">
        <x:f>'假设'!H7</x:f>
        <x:v>13100000</x:v>
      </x:c>
      <x:c r="G25" s="34" t="n">
        <x:f>'能源托管模式'!H15</x:f>
        <x:v>4400000</x:v>
      </x:c>
      <x:c r="H25" s="34" t="n">
        <x:f>G25-'EMC模式'!H15</x:f>
        <x:v>0</x:v>
      </x:c>
      <x:c r="I25" s="34" t="n">
        <x:f>'能源托管模式'!K16</x:f>
        <x:v>13100000</x:v>
      </x:c>
      <x:c r="J25" s="34" t="n">
        <x:f>'能源托管模式'!L16</x:f>
        <x:v>10000000</x:v>
      </x:c>
      <x:c r="K25" s="34" t="n">
        <x:f>'能源托管模式'!M16</x:f>
        <x:v>1426613.56131403</x:v>
      </x:c>
      <x:c r="L25" s="34" t="n">
        <x:f>'能源托管模式'!N16</x:f>
        <x:v>0</x:v>
      </x:c>
      <x:c r="M25" s="34" t="n">
        <x:f>I25-J25-K25+L25</x:f>
        <x:v>1673386.43868597</x:v>
      </x:c>
      <x:c r="N25" s="34" t="n">
        <x:f>I25-'EMC模式'!K16</x:f>
        <x:v>9600000</x:v>
      </x:c>
      <x:c r="O25" s="34" t="n">
        <x:f>J25-'EMC模式'!L16</x:f>
        <x:v>9300000</x:v>
      </x:c>
      <x:c r="P25" s="34" t="n">
        <x:f>L25-'EMC模式'!N16</x:f>
        <x:v>0</x:v>
      </x:c>
      <x:c r="Q25" s="34" t="n">
        <x:f>M25-('EMC模式'!K16-'EMC模式'!L16-'EMC模式'!M16+'EMC模式'!N16)</x:f>
        <x:v>300000</x:v>
      </x:c>
      <x:c r="R25" s="22" t="str">
        <x:v>第10年含终值/残值归属；本模式下终值归甲方，因此甲方收益高于LaaS</x:v>
      </x:c>
    </x:row>
    <x:row r="26" ht="22" hidden="0" customHeight="1">
      <x:c r="A26" t="str">
        <x:v>LaaS</x:v>
      </x:c>
      <x:c r="B26" t="n">
        <x:v>1</x:v>
      </x:c>
      <x:c r="C26" s="34" t="n">
        <x:f>'假设'!E8</x:f>
        <x:v>13100000</x:v>
      </x:c>
      <x:c r="D26" s="34" t="n">
        <x:f>'假设'!F8</x:f>
        <x:v>7200000</x:v>
      </x:c>
      <x:c r="E26" s="34" t="n">
        <x:f>'假设'!G8</x:f>
        <x:v>0</x:v>
      </x:c>
      <x:c r="F26" s="34" t="n">
        <x:f>'假设'!H8</x:f>
        <x:v>5900000</x:v>
      </x:c>
      <x:c r="G26" s="34" t="n">
        <x:f>'LaaS模式'!H6</x:f>
        <x:v>1900000</x:v>
      </x:c>
      <x:c r="H26" s="34" t="n">
        <x:f>G26-'EMC模式'!H6</x:f>
        <x:v>0</x:v>
      </x:c>
      <x:c r="I26" s="34" t="n">
        <x:f>'LaaS模式'!K7</x:f>
        <x:v>5900000</x:v>
      </x:c>
      <x:c r="J26" s="34" t="n">
        <x:f>'LaaS模式'!L7</x:f>
        <x:v>2800000</x:v>
      </x:c>
      <x:c r="K26" s="34" t="n">
        <x:f>'LaaS模式'!M7</x:f>
        <x:v>1426613.56131403</x:v>
      </x:c>
      <x:c r="L26" s="34" t="n">
        <x:f>'LaaS模式'!N7</x:f>
        <x:v>0</x:v>
      </x:c>
      <x:c r="M26" s="34" t="n">
        <x:f>I26-J26-K26+L26</x:f>
        <x:v>1673386.43868597</x:v>
      </x:c>
      <x:c r="N26" s="34" t="n">
        <x:f>I26-'EMC模式'!K7</x:f>
        <x:v>2400000</x:v>
      </x:c>
      <x:c r="O26" s="34" t="n">
        <x:f>J26-'EMC模式'!L7</x:f>
        <x:v>2100000</x:v>
      </x:c>
      <x:c r="P26" s="34" t="n">
        <x:f>L26-'EMC模式'!N7</x:f>
        <x:v>0</x:v>
      </x:c>
      <x:c r="Q26" s="34" t="n">
        <x:f>M26-('EMC模式'!K7-'EMC模式'!L7-'EMC模式'!M7+'EMC模式'!N7)</x:f>
        <x:v>300000</x:v>
      </x:c>
      <x:c r="R26" s="22" t="str">
        <x:v>前9年差异主要来自订阅费更高且服务方承担运维；第10年再叠加残值归服务方、甲方无终值</x:v>
      </x:c>
    </x:row>
    <x:row r="27" ht="22" hidden="0" customHeight="1">
      <x:c r="A27" t="str">
        <x:v>LaaS</x:v>
      </x:c>
      <x:c r="B27" t="n">
        <x:v>2</x:v>
      </x:c>
      <x:c r="C27" s="34" t="n">
        <x:f>'假设'!E8</x:f>
        <x:v>13100000</x:v>
      </x:c>
      <x:c r="D27" s="34" t="n">
        <x:f>'假设'!F8</x:f>
        <x:v>7200000</x:v>
      </x:c>
      <x:c r="E27" s="34" t="n">
        <x:f>'假设'!G8</x:f>
        <x:v>0</x:v>
      </x:c>
      <x:c r="F27" s="34" t="n">
        <x:f>'假设'!H8</x:f>
        <x:v>5900000</x:v>
      </x:c>
      <x:c r="G27" s="34" t="n">
        <x:f>'LaaS模式'!H7</x:f>
        <x:v>1900000</x:v>
      </x:c>
      <x:c r="H27" s="34" t="n">
        <x:f>G27-'EMC模式'!H7</x:f>
        <x:v>0</x:v>
      </x:c>
      <x:c r="I27" s="34" t="n">
        <x:f>'LaaS模式'!K8</x:f>
        <x:v>5900000</x:v>
      </x:c>
      <x:c r="J27" s="34" t="n">
        <x:f>'LaaS模式'!L8</x:f>
        <x:v>2800000</x:v>
      </x:c>
      <x:c r="K27" s="34" t="n">
        <x:f>'LaaS模式'!M8</x:f>
        <x:v>1426613.56131403</x:v>
      </x:c>
      <x:c r="L27" s="34" t="n">
        <x:f>'LaaS模式'!N8</x:f>
        <x:v>0</x:v>
      </x:c>
      <x:c r="M27" s="34" t="n">
        <x:f>I27-J27-K27+L27</x:f>
        <x:v>1673386.43868597</x:v>
      </x:c>
      <x:c r="N27" s="34" t="n">
        <x:f>I27-'EMC模式'!K8</x:f>
        <x:v>2400000</x:v>
      </x:c>
      <x:c r="O27" s="34" t="n">
        <x:f>J27-'EMC模式'!L8</x:f>
        <x:v>2100000</x:v>
      </x:c>
      <x:c r="P27" s="34" t="n">
        <x:f>L27-'EMC模式'!N8</x:f>
        <x:v>0</x:v>
      </x:c>
      <x:c r="Q27" s="34" t="n">
        <x:f>M27-('EMC模式'!K8-'EMC模式'!L8-'EMC模式'!M8+'EMC模式'!N8)</x:f>
        <x:v>300000</x:v>
      </x:c>
      <x:c r="R27" s="22" t="str">
        <x:v>前9年差异主要来自订阅费更高且服务方承担运维；第10年再叠加残值归服务方、甲方无终值</x:v>
      </x:c>
    </x:row>
    <x:row r="28" ht="22" hidden="0" customHeight="1">
      <x:c r="A28" t="str">
        <x:v>LaaS</x:v>
      </x:c>
      <x:c r="B28" t="n">
        <x:v>3</x:v>
      </x:c>
      <x:c r="C28" s="34" t="n">
        <x:f>'假设'!E8</x:f>
        <x:v>13100000</x:v>
      </x:c>
      <x:c r="D28" s="34" t="n">
        <x:f>'假设'!F8</x:f>
        <x:v>7200000</x:v>
      </x:c>
      <x:c r="E28" s="34" t="n">
        <x:f>'假设'!G8</x:f>
        <x:v>0</x:v>
      </x:c>
      <x:c r="F28" s="34" t="n">
        <x:f>'假设'!H8</x:f>
        <x:v>5900000</x:v>
      </x:c>
      <x:c r="G28" s="34" t="n">
        <x:f>'LaaS模式'!H8</x:f>
        <x:v>1900000</x:v>
      </x:c>
      <x:c r="H28" s="34" t="n">
        <x:f>G28-'EMC模式'!H8</x:f>
        <x:v>0</x:v>
      </x:c>
      <x:c r="I28" s="34" t="n">
        <x:f>'LaaS模式'!K9</x:f>
        <x:v>5900000</x:v>
      </x:c>
      <x:c r="J28" s="34" t="n">
        <x:f>'LaaS模式'!L9</x:f>
        <x:v>2800000</x:v>
      </x:c>
      <x:c r="K28" s="34" t="n">
        <x:f>'LaaS模式'!M9</x:f>
        <x:v>1426613.56131403</x:v>
      </x:c>
      <x:c r="L28" s="34" t="n">
        <x:f>'LaaS模式'!N9</x:f>
        <x:v>0</x:v>
      </x:c>
      <x:c r="M28" s="34" t="n">
        <x:f>I28-J28-K28+L28</x:f>
        <x:v>1673386.43868597</x:v>
      </x:c>
      <x:c r="N28" s="34" t="n">
        <x:f>I28-'EMC模式'!K9</x:f>
        <x:v>2400000</x:v>
      </x:c>
      <x:c r="O28" s="34" t="n">
        <x:f>J28-'EMC模式'!L9</x:f>
        <x:v>2100000</x:v>
      </x:c>
      <x:c r="P28" s="34" t="n">
        <x:f>L28-'EMC模式'!N9</x:f>
        <x:v>0</x:v>
      </x:c>
      <x:c r="Q28" s="34" t="n">
        <x:f>M28-('EMC模式'!K9-'EMC模式'!L9-'EMC模式'!M9+'EMC模式'!N9)</x:f>
        <x:v>300000</x:v>
      </x:c>
      <x:c r="R28" s="22" t="str">
        <x:v>前9年差异主要来自订阅费更高且服务方承担运维；第10年再叠加残值归服务方、甲方无终值</x:v>
      </x:c>
    </x:row>
    <x:row r="29" ht="22" hidden="0" customHeight="1">
      <x:c r="A29" t="str">
        <x:v>LaaS</x:v>
      </x:c>
      <x:c r="B29" t="n">
        <x:v>4</x:v>
      </x:c>
      <x:c r="C29" s="34" t="n">
        <x:f>'假设'!E8</x:f>
        <x:v>13100000</x:v>
      </x:c>
      <x:c r="D29" s="34" t="n">
        <x:f>'假设'!F8</x:f>
        <x:v>7200000</x:v>
      </x:c>
      <x:c r="E29" s="34" t="n">
        <x:f>'假设'!G8</x:f>
        <x:v>0</x:v>
      </x:c>
      <x:c r="F29" s="34" t="n">
        <x:f>'假设'!H8</x:f>
        <x:v>5900000</x:v>
      </x:c>
      <x:c r="G29" s="34" t="n">
        <x:f>'LaaS模式'!H9</x:f>
        <x:v>1900000</x:v>
      </x:c>
      <x:c r="H29" s="34" t="n">
        <x:f>G29-'EMC模式'!H9</x:f>
        <x:v>0</x:v>
      </x:c>
      <x:c r="I29" s="34" t="n">
        <x:f>'LaaS模式'!K10</x:f>
        <x:v>5900000</x:v>
      </x:c>
      <x:c r="J29" s="34" t="n">
        <x:f>'LaaS模式'!L10</x:f>
        <x:v>2800000</x:v>
      </x:c>
      <x:c r="K29" s="34" t="n">
        <x:f>'LaaS模式'!M10</x:f>
        <x:v>1426613.56131403</x:v>
      </x:c>
      <x:c r="L29" s="34" t="n">
        <x:f>'LaaS模式'!N10</x:f>
        <x:v>0</x:v>
      </x:c>
      <x:c r="M29" s="34" t="n">
        <x:f>I29-J29-K29+L29</x:f>
        <x:v>1673386.43868597</x:v>
      </x:c>
      <x:c r="N29" s="34" t="n">
        <x:f>I29-'EMC模式'!K10</x:f>
        <x:v>2400000</x:v>
      </x:c>
      <x:c r="O29" s="34" t="n">
        <x:f>J29-'EMC模式'!L10</x:f>
        <x:v>2100000</x:v>
      </x:c>
      <x:c r="P29" s="34" t="n">
        <x:f>L29-'EMC模式'!N10</x:f>
        <x:v>0</x:v>
      </x:c>
      <x:c r="Q29" s="34" t="n">
        <x:f>M29-('EMC模式'!K10-'EMC模式'!L10-'EMC模式'!M10+'EMC模式'!N10)</x:f>
        <x:v>300000</x:v>
      </x:c>
      <x:c r="R29" s="22" t="str">
        <x:v>前9年差异主要来自订阅费更高且服务方承担运维；第10年再叠加残值归服务方、甲方无终值</x:v>
      </x:c>
    </x:row>
    <x:row r="30" ht="22" hidden="0" customHeight="1">
      <x:c r="A30" t="str">
        <x:v>LaaS</x:v>
      </x:c>
      <x:c r="B30" t="n">
        <x:v>5</x:v>
      </x:c>
      <x:c r="C30" s="34" t="n">
        <x:f>'假设'!E8</x:f>
        <x:v>13100000</x:v>
      </x:c>
      <x:c r="D30" s="34" t="n">
        <x:f>'假设'!F8</x:f>
        <x:v>7200000</x:v>
      </x:c>
      <x:c r="E30" s="34" t="n">
        <x:f>'假设'!G8</x:f>
        <x:v>0</x:v>
      </x:c>
      <x:c r="F30" s="34" t="n">
        <x:f>'假设'!H8</x:f>
        <x:v>5900000</x:v>
      </x:c>
      <x:c r="G30" s="34" t="n">
        <x:f>'LaaS模式'!H10</x:f>
        <x:v>1900000</x:v>
      </x:c>
      <x:c r="H30" s="34" t="n">
        <x:f>G30-'EMC模式'!H10</x:f>
        <x:v>0</x:v>
      </x:c>
      <x:c r="I30" s="34" t="n">
        <x:f>'LaaS模式'!K11</x:f>
        <x:v>5900000</x:v>
      </x:c>
      <x:c r="J30" s="34" t="n">
        <x:f>'LaaS模式'!L11</x:f>
        <x:v>2800000</x:v>
      </x:c>
      <x:c r="K30" s="34" t="n">
        <x:f>'LaaS模式'!M11</x:f>
        <x:v>1426613.56131403</x:v>
      </x:c>
      <x:c r="L30" s="34" t="n">
        <x:f>'LaaS模式'!N11</x:f>
        <x:v>0</x:v>
      </x:c>
      <x:c r="M30" s="34" t="n">
        <x:f>I30-J30-K30+L30</x:f>
        <x:v>1673386.43868597</x:v>
      </x:c>
      <x:c r="N30" s="34" t="n">
        <x:f>I30-'EMC模式'!K11</x:f>
        <x:v>2400000</x:v>
      </x:c>
      <x:c r="O30" s="34" t="n">
        <x:f>J30-'EMC模式'!L11</x:f>
        <x:v>2100000</x:v>
      </x:c>
      <x:c r="P30" s="34" t="n">
        <x:f>L30-'EMC模式'!N11</x:f>
        <x:v>0</x:v>
      </x:c>
      <x:c r="Q30" s="34" t="n">
        <x:f>M30-('EMC模式'!K11-'EMC模式'!L11-'EMC模式'!M11+'EMC模式'!N11)</x:f>
        <x:v>300000</x:v>
      </x:c>
      <x:c r="R30" s="22" t="str">
        <x:v>前9年差异主要来自订阅费更高且服务方承担运维；第10年再叠加残值归服务方、甲方无终值</x:v>
      </x:c>
    </x:row>
    <x:row r="31" ht="22" hidden="0" customHeight="1">
      <x:c r="A31" t="str">
        <x:v>LaaS</x:v>
      </x:c>
      <x:c r="B31" t="n">
        <x:v>6</x:v>
      </x:c>
      <x:c r="C31" s="34" t="n">
        <x:f>'假设'!E8</x:f>
        <x:v>13100000</x:v>
      </x:c>
      <x:c r="D31" s="34" t="n">
        <x:f>'假设'!F8</x:f>
        <x:v>7200000</x:v>
      </x:c>
      <x:c r="E31" s="34" t="n">
        <x:f>'假设'!G8</x:f>
        <x:v>0</x:v>
      </x:c>
      <x:c r="F31" s="34" t="n">
        <x:f>'假设'!H8</x:f>
        <x:v>5900000</x:v>
      </x:c>
      <x:c r="G31" s="34" t="n">
        <x:f>'LaaS模式'!H11</x:f>
        <x:v>1900000</x:v>
      </x:c>
      <x:c r="H31" s="34" t="n">
        <x:f>G31-'EMC模式'!H11</x:f>
        <x:v>0</x:v>
      </x:c>
      <x:c r="I31" s="34" t="n">
        <x:f>'LaaS模式'!K12</x:f>
        <x:v>5900000</x:v>
      </x:c>
      <x:c r="J31" s="34" t="n">
        <x:f>'LaaS模式'!L12</x:f>
        <x:v>2800000</x:v>
      </x:c>
      <x:c r="K31" s="34" t="n">
        <x:f>'LaaS模式'!M12</x:f>
        <x:v>1426613.56131403</x:v>
      </x:c>
      <x:c r="L31" s="34" t="n">
        <x:f>'LaaS模式'!N12</x:f>
        <x:v>0</x:v>
      </x:c>
      <x:c r="M31" s="34" t="n">
        <x:f>I31-J31-K31+L31</x:f>
        <x:v>1673386.43868597</x:v>
      </x:c>
      <x:c r="N31" s="34" t="n">
        <x:f>I31-'EMC模式'!K12</x:f>
        <x:v>2400000</x:v>
      </x:c>
      <x:c r="O31" s="34" t="n">
        <x:f>J31-'EMC模式'!L12</x:f>
        <x:v>2100000</x:v>
      </x:c>
      <x:c r="P31" s="34" t="n">
        <x:f>L31-'EMC模式'!N12</x:f>
        <x:v>0</x:v>
      </x:c>
      <x:c r="Q31" s="34" t="n">
        <x:f>M31-('EMC模式'!K12-'EMC模式'!L12-'EMC模式'!M12+'EMC模式'!N12)</x:f>
        <x:v>300000</x:v>
      </x:c>
      <x:c r="R31" s="22" t="str">
        <x:v>前9年差异主要来自订阅费更高且服务方承担运维；第10年再叠加残值归服务方、甲方无终值</x:v>
      </x:c>
    </x:row>
    <x:row r="32" ht="22" hidden="0" customHeight="1">
      <x:c r="A32" t="str">
        <x:v>LaaS</x:v>
      </x:c>
      <x:c r="B32" t="n">
        <x:v>7</x:v>
      </x:c>
      <x:c r="C32" s="34" t="n">
        <x:f>'假设'!E8</x:f>
        <x:v>13100000</x:v>
      </x:c>
      <x:c r="D32" s="34" t="n">
        <x:f>'假设'!F8</x:f>
        <x:v>7200000</x:v>
      </x:c>
      <x:c r="E32" s="34" t="n">
        <x:f>'假设'!G8</x:f>
        <x:v>0</x:v>
      </x:c>
      <x:c r="F32" s="34" t="n">
        <x:f>'假设'!H8</x:f>
        <x:v>5900000</x:v>
      </x:c>
      <x:c r="G32" s="34" t="n">
        <x:f>'LaaS模式'!H12</x:f>
        <x:v>1900000</x:v>
      </x:c>
      <x:c r="H32" s="34" t="n">
        <x:f>G32-'EMC模式'!H12</x:f>
        <x:v>0</x:v>
      </x:c>
      <x:c r="I32" s="34" t="n">
        <x:f>'LaaS模式'!K13</x:f>
        <x:v>5900000</x:v>
      </x:c>
      <x:c r="J32" s="34" t="n">
        <x:f>'LaaS模式'!L13</x:f>
        <x:v>2800000</x:v>
      </x:c>
      <x:c r="K32" s="34" t="n">
        <x:f>'LaaS模式'!M13</x:f>
        <x:v>1426613.56131403</x:v>
      </x:c>
      <x:c r="L32" s="34" t="n">
        <x:f>'LaaS模式'!N13</x:f>
        <x:v>0</x:v>
      </x:c>
      <x:c r="M32" s="34" t="n">
        <x:f>I32-J32-K32+L32</x:f>
        <x:v>1673386.43868597</x:v>
      </x:c>
      <x:c r="N32" s="34" t="n">
        <x:f>I32-'EMC模式'!K13</x:f>
        <x:v>2400000</x:v>
      </x:c>
      <x:c r="O32" s="34" t="n">
        <x:f>J32-'EMC模式'!L13</x:f>
        <x:v>2100000</x:v>
      </x:c>
      <x:c r="P32" s="34" t="n">
        <x:f>L32-'EMC模式'!N13</x:f>
        <x:v>0</x:v>
      </x:c>
      <x:c r="Q32" s="34" t="n">
        <x:f>M32-('EMC模式'!K13-'EMC模式'!L13-'EMC模式'!M13+'EMC模式'!N13)</x:f>
        <x:v>300000</x:v>
      </x:c>
      <x:c r="R32" s="22" t="str">
        <x:v>前9年差异主要来自订阅费更高且服务方承担运维；第10年再叠加残值归服务方、甲方无终值</x:v>
      </x:c>
    </x:row>
    <x:row r="33" ht="22" hidden="0" customHeight="1">
      <x:c r="A33" t="str">
        <x:v>LaaS</x:v>
      </x:c>
      <x:c r="B33" t="n">
        <x:v>8</x:v>
      </x:c>
      <x:c r="C33" s="34" t="n">
        <x:f>'假设'!E8</x:f>
        <x:v>13100000</x:v>
      </x:c>
      <x:c r="D33" s="34" t="n">
        <x:f>'假设'!F8</x:f>
        <x:v>7200000</x:v>
      </x:c>
      <x:c r="E33" s="34" t="n">
        <x:f>'假设'!G8</x:f>
        <x:v>0</x:v>
      </x:c>
      <x:c r="F33" s="34" t="n">
        <x:f>'假设'!H8</x:f>
        <x:v>5900000</x:v>
      </x:c>
      <x:c r="G33" s="34" t="n">
        <x:f>'LaaS模式'!H13</x:f>
        <x:v>1900000</x:v>
      </x:c>
      <x:c r="H33" s="34" t="n">
        <x:f>G33-'EMC模式'!H13</x:f>
        <x:v>0</x:v>
      </x:c>
      <x:c r="I33" s="34" t="n">
        <x:f>'LaaS模式'!K14</x:f>
        <x:v>5900000</x:v>
      </x:c>
      <x:c r="J33" s="34" t="n">
        <x:f>'LaaS模式'!L14</x:f>
        <x:v>2800000</x:v>
      </x:c>
      <x:c r="K33" s="34" t="n">
        <x:f>'LaaS模式'!M14</x:f>
        <x:v>1426613.56131403</x:v>
      </x:c>
      <x:c r="L33" s="34" t="n">
        <x:f>'LaaS模式'!N14</x:f>
        <x:v>0</x:v>
      </x:c>
      <x:c r="M33" s="34" t="n">
        <x:f>I33-J33-K33+L33</x:f>
        <x:v>1673386.43868597</x:v>
      </x:c>
      <x:c r="N33" s="34" t="n">
        <x:f>I33-'EMC模式'!K14</x:f>
        <x:v>2400000</x:v>
      </x:c>
      <x:c r="O33" s="34" t="n">
        <x:f>J33-'EMC模式'!L14</x:f>
        <x:v>2100000</x:v>
      </x:c>
      <x:c r="P33" s="34" t="n">
        <x:f>L33-'EMC模式'!N14</x:f>
        <x:v>0</x:v>
      </x:c>
      <x:c r="Q33" s="34" t="n">
        <x:f>M33-('EMC模式'!K14-'EMC模式'!L14-'EMC模式'!M14+'EMC模式'!N14)</x:f>
        <x:v>300000</x:v>
      </x:c>
      <x:c r="R33" s="22" t="str">
        <x:v>前9年差异主要来自订阅费更高且服务方承担运维；第10年再叠加残值归服务方、甲方无终值</x:v>
      </x:c>
    </x:row>
    <x:row r="34" ht="22" hidden="0" customHeight="1">
      <x:c r="A34" t="str">
        <x:v>LaaS</x:v>
      </x:c>
      <x:c r="B34" t="n">
        <x:v>9</x:v>
      </x:c>
      <x:c r="C34" s="34" t="n">
        <x:f>'假设'!E8</x:f>
        <x:v>13100000</x:v>
      </x:c>
      <x:c r="D34" s="34" t="n">
        <x:f>'假设'!F8</x:f>
        <x:v>7200000</x:v>
      </x:c>
      <x:c r="E34" s="34" t="n">
        <x:f>'假设'!G8</x:f>
        <x:v>0</x:v>
      </x:c>
      <x:c r="F34" s="34" t="n">
        <x:f>'假设'!H8</x:f>
        <x:v>5900000</x:v>
      </x:c>
      <x:c r="G34" s="34" t="n">
        <x:f>'LaaS模式'!H14</x:f>
        <x:v>1900000</x:v>
      </x:c>
      <x:c r="H34" s="34" t="n">
        <x:f>G34-'EMC模式'!H14</x:f>
        <x:v>0</x:v>
      </x:c>
      <x:c r="I34" s="34" t="n">
        <x:f>'LaaS模式'!K15</x:f>
        <x:v>5900000</x:v>
      </x:c>
      <x:c r="J34" s="34" t="n">
        <x:f>'LaaS模式'!L15</x:f>
        <x:v>2800000</x:v>
      </x:c>
      <x:c r="K34" s="34" t="n">
        <x:f>'LaaS模式'!M15</x:f>
        <x:v>1426613.56131403</x:v>
      </x:c>
      <x:c r="L34" s="34" t="n">
        <x:f>'LaaS模式'!N15</x:f>
        <x:v>0</x:v>
      </x:c>
      <x:c r="M34" s="34" t="n">
        <x:f>I34-J34-K34+L34</x:f>
        <x:v>1673386.43868597</x:v>
      </x:c>
      <x:c r="N34" s="34" t="n">
        <x:f>I34-'EMC模式'!K15</x:f>
        <x:v>2400000</x:v>
      </x:c>
      <x:c r="O34" s="34" t="n">
        <x:f>J34-'EMC模式'!L15</x:f>
        <x:v>2100000</x:v>
      </x:c>
      <x:c r="P34" s="34" t="n">
        <x:f>L34-'EMC模式'!N15</x:f>
        <x:v>0</x:v>
      </x:c>
      <x:c r="Q34" s="34" t="n">
        <x:f>M34-('EMC模式'!K15-'EMC模式'!L15-'EMC模式'!M15+'EMC模式'!N15)</x:f>
        <x:v>300000</x:v>
      </x:c>
      <x:c r="R34" s="22" t="str">
        <x:v>前9年差异主要来自订阅费更高且服务方承担运维；第10年再叠加残值归服务方、甲方无终值</x:v>
      </x:c>
    </x:row>
    <x:row r="35" ht="22" hidden="0" customHeight="1">
      <x:c r="A35" t="str">
        <x:v>LaaS</x:v>
      </x:c>
      <x:c r="B35" t="n">
        <x:v>10</x:v>
      </x:c>
      <x:c r="C35" s="34" t="n">
        <x:f>'假设'!E8</x:f>
        <x:v>13100000</x:v>
      </x:c>
      <x:c r="D35" s="34" t="n">
        <x:f>'假设'!F8</x:f>
        <x:v>7200000</x:v>
      </x:c>
      <x:c r="E35" s="34" t="n">
        <x:f>'假设'!G8</x:f>
        <x:v>0</x:v>
      </x:c>
      <x:c r="F35" s="34" t="n">
        <x:f>'假设'!H8</x:f>
        <x:v>5900000</x:v>
      </x:c>
      <x:c r="G35" s="34" t="n">
        <x:f>'LaaS模式'!H15</x:f>
        <x:v>1900000</x:v>
      </x:c>
      <x:c r="H35" s="34" t="n">
        <x:f>G35-'EMC模式'!H15</x:f>
        <x:v>-2500000</x:v>
      </x:c>
      <x:c r="I35" s="34" t="n">
        <x:f>'LaaS模式'!K16</x:f>
        <x:v>5900000</x:v>
      </x:c>
      <x:c r="J35" s="34" t="n">
        <x:f>'LaaS模式'!L16</x:f>
        <x:v>2800000</x:v>
      </x:c>
      <x:c r="K35" s="34" t="n">
        <x:f>'LaaS模式'!M16</x:f>
        <x:v>1426613.56131403</x:v>
      </x:c>
      <x:c r="L35" s="34" t="n">
        <x:f>'LaaS模式'!N16</x:f>
        <x:v>2500000</x:v>
      </x:c>
      <x:c r="M35" s="34" t="n">
        <x:f>I35-J35-K35+L35</x:f>
        <x:v>4173386.43868597</x:v>
      </x:c>
      <x:c r="N35" s="34" t="n">
        <x:f>I35-'EMC模式'!K16</x:f>
        <x:v>2400000</x:v>
      </x:c>
      <x:c r="O35" s="34" t="n">
        <x:f>J35-'EMC模式'!L16</x:f>
        <x:v>2100000</x:v>
      </x:c>
      <x:c r="P35" s="34" t="n">
        <x:f>L35-'EMC模式'!N16</x:f>
        <x:v>2500000</x:v>
      </x:c>
      <x:c r="Q35" s="34" t="n">
        <x:f>M35-('EMC模式'!K16-'EMC模式'!L16-'EMC模式'!M16+'EMC模式'!N16)</x:f>
        <x:v>2800000</x:v>
      </x:c>
      <x:c r="R35" s="22" t="str">
        <x:v>第10年差异最大：LaaS多出服务方残值，同时甲方少了终值，因此服务方与甲方差异同时拉开</x:v>
      </x:c>
    </x:row>
    <x:row r="36" ht="22" hidden="0" customHeight="1">
      <x:c r="A36" t="str">
        <x:v>租赁</x:v>
      </x:c>
      <x:c r="B36" t="n">
        <x:v>1</x:v>
      </x:c>
      <x:c r="C36" s="34" t="n">
        <x:f>'假设'!E9</x:f>
        <x:v>13100000</x:v>
      </x:c>
      <x:c r="D36" s="34" t="n">
        <x:f>'假设'!F9</x:f>
        <x:v>7200000</x:v>
      </x:c>
      <x:c r="E36" s="34" t="n">
        <x:f>'假设'!G9</x:f>
        <x:v>2400000</x:v>
      </x:c>
      <x:c r="F36" s="34" t="n">
        <x:f>'假设'!H9</x:f>
        <x:v>3500000</x:v>
      </x:c>
      <x:c r="G36" s="34" t="n">
        <x:f>'租赁模式'!H6</x:f>
        <x:v>1900000</x:v>
      </x:c>
      <x:c r="H36" s="34" t="n">
        <x:f>G36-'EMC模式'!H6</x:f>
        <x:v>0</x:v>
      </x:c>
      <x:c r="I36" s="34" t="n">
        <x:f>'租赁模式'!K7</x:f>
        <x:v>3500000</x:v>
      </x:c>
      <x:c r="J36" s="34" t="n">
        <x:f>'租赁模式'!L7</x:f>
        <x:v>200000</x:v>
      </x:c>
      <x:c r="K36" s="34" t="n">
        <x:f>'租赁模式'!M7</x:f>
        <x:v>1426613.56131403</x:v>
      </x:c>
      <x:c r="L36" s="34" t="n">
        <x:f>'租赁模式'!N7</x:f>
        <x:v>0</x:v>
      </x:c>
      <x:c r="M36" s="34" t="n">
        <x:f>I36-J36-K36+L36</x:f>
        <x:v>1873386.43868597</x:v>
      </x:c>
      <x:c r="N36" s="34" t="n">
        <x:f>I36-'EMC模式'!K7</x:f>
        <x:v>0</x:v>
      </x:c>
      <x:c r="O36" s="34" t="n">
        <x:f>J36-'EMC模式'!L7</x:f>
        <x:v>-500000</x:v>
      </x:c>
      <x:c r="P36" s="34" t="n">
        <x:f>L36-'EMC模式'!N7</x:f>
        <x:v>0</x:v>
      </x:c>
      <x:c r="Q36" s="34" t="n">
        <x:f>M36-('EMC模式'!K7-'EMC模式'!L7-'EMC模式'!M7+'EMC模式'!N7)</x:f>
        <x:v>500000</x:v>
      </x:c>
      <x:c r="R36" s="22" t="str">
        <x:v>业主仍自付电费和运维；服务方收入与EMC接近，但运维管理成本更低</x:v>
      </x:c>
    </x:row>
    <x:row r="37" ht="22" hidden="0" customHeight="1">
      <x:c r="A37" t="str">
        <x:v>租赁</x:v>
      </x:c>
      <x:c r="B37" t="n">
        <x:v>2</x:v>
      </x:c>
      <x:c r="C37" s="34" t="n">
        <x:f>'假设'!E9</x:f>
        <x:v>13100000</x:v>
      </x:c>
      <x:c r="D37" s="34" t="n">
        <x:f>'假设'!F9</x:f>
        <x:v>7200000</x:v>
      </x:c>
      <x:c r="E37" s="34" t="n">
        <x:f>'假设'!G9</x:f>
        <x:v>2400000</x:v>
      </x:c>
      <x:c r="F37" s="34" t="n">
        <x:f>'假设'!H9</x:f>
        <x:v>3500000</x:v>
      </x:c>
      <x:c r="G37" s="34" t="n">
        <x:f>'租赁模式'!H7</x:f>
        <x:v>1900000</x:v>
      </x:c>
      <x:c r="H37" s="34" t="n">
        <x:f>G37-'EMC模式'!H7</x:f>
        <x:v>0</x:v>
      </x:c>
      <x:c r="I37" s="34" t="n">
        <x:f>'租赁模式'!K8</x:f>
        <x:v>3500000</x:v>
      </x:c>
      <x:c r="J37" s="34" t="n">
        <x:f>'租赁模式'!L8</x:f>
        <x:v>200000</x:v>
      </x:c>
      <x:c r="K37" s="34" t="n">
        <x:f>'租赁模式'!M8</x:f>
        <x:v>1426613.56131403</x:v>
      </x:c>
      <x:c r="L37" s="34" t="n">
        <x:f>'租赁模式'!N8</x:f>
        <x:v>0</x:v>
      </x:c>
      <x:c r="M37" s="34" t="n">
        <x:f>I37-J37-K37+L37</x:f>
        <x:v>1873386.43868597</x:v>
      </x:c>
      <x:c r="N37" s="34" t="n">
        <x:f>I37-'EMC模式'!K8</x:f>
        <x:v>0</x:v>
      </x:c>
      <x:c r="O37" s="34" t="n">
        <x:f>J37-'EMC模式'!L8</x:f>
        <x:v>-500000</x:v>
      </x:c>
      <x:c r="P37" s="34" t="n">
        <x:f>L37-'EMC模式'!N8</x:f>
        <x:v>0</x:v>
      </x:c>
      <x:c r="Q37" s="34" t="n">
        <x:f>M37-('EMC模式'!K8-'EMC模式'!L8-'EMC模式'!M8+'EMC模式'!N8)</x:f>
        <x:v>500000</x:v>
      </x:c>
      <x:c r="R37" s="22" t="str">
        <x:v>业主仍自付电费和运维；服务方收入与EMC接近，但运维管理成本更低</x:v>
      </x:c>
    </x:row>
    <x:row r="38" ht="22" hidden="0" customHeight="1">
      <x:c r="A38" t="str">
        <x:v>租赁</x:v>
      </x:c>
      <x:c r="B38" t="n">
        <x:v>3</x:v>
      </x:c>
      <x:c r="C38" s="34" t="n">
        <x:f>'假设'!E9</x:f>
        <x:v>13100000</x:v>
      </x:c>
      <x:c r="D38" s="34" t="n">
        <x:f>'假设'!F9</x:f>
        <x:v>7200000</x:v>
      </x:c>
      <x:c r="E38" s="34" t="n">
        <x:f>'假设'!G9</x:f>
        <x:v>2400000</x:v>
      </x:c>
      <x:c r="F38" s="34" t="n">
        <x:f>'假设'!H9</x:f>
        <x:v>3500000</x:v>
      </x:c>
      <x:c r="G38" s="34" t="n">
        <x:f>'租赁模式'!H8</x:f>
        <x:v>1900000</x:v>
      </x:c>
      <x:c r="H38" s="34" t="n">
        <x:f>G38-'EMC模式'!H8</x:f>
        <x:v>0</x:v>
      </x:c>
      <x:c r="I38" s="34" t="n">
        <x:f>'租赁模式'!K9</x:f>
        <x:v>3500000</x:v>
      </x:c>
      <x:c r="J38" s="34" t="n">
        <x:f>'租赁模式'!L9</x:f>
        <x:v>200000</x:v>
      </x:c>
      <x:c r="K38" s="34" t="n">
        <x:f>'租赁模式'!M9</x:f>
        <x:v>1426613.56131403</x:v>
      </x:c>
      <x:c r="L38" s="34" t="n">
        <x:f>'租赁模式'!N9</x:f>
        <x:v>0</x:v>
      </x:c>
      <x:c r="M38" s="34" t="n">
        <x:f>I38-J38-K38+L38</x:f>
        <x:v>1873386.43868597</x:v>
      </x:c>
      <x:c r="N38" s="34" t="n">
        <x:f>I38-'EMC模式'!K9</x:f>
        <x:v>0</x:v>
      </x:c>
      <x:c r="O38" s="34" t="n">
        <x:f>J38-'EMC模式'!L9</x:f>
        <x:v>-500000</x:v>
      </x:c>
      <x:c r="P38" s="34" t="n">
        <x:f>L38-'EMC模式'!N9</x:f>
        <x:v>0</x:v>
      </x:c>
      <x:c r="Q38" s="34" t="n">
        <x:f>M38-('EMC模式'!K9-'EMC模式'!L9-'EMC模式'!M9+'EMC模式'!N9)</x:f>
        <x:v>500000</x:v>
      </x:c>
      <x:c r="R38" s="22" t="str">
        <x:v>业主仍自付电费和运维；服务方收入与EMC接近，但运维管理成本更低</x:v>
      </x:c>
    </x:row>
    <x:row r="39" ht="22" hidden="0" customHeight="1">
      <x:c r="A39" t="str">
        <x:v>租赁</x:v>
      </x:c>
      <x:c r="B39" t="n">
        <x:v>4</x:v>
      </x:c>
      <x:c r="C39" s="34" t="n">
        <x:f>'假设'!E9</x:f>
        <x:v>13100000</x:v>
      </x:c>
      <x:c r="D39" s="34" t="n">
        <x:f>'假设'!F9</x:f>
        <x:v>7200000</x:v>
      </x:c>
      <x:c r="E39" s="34" t="n">
        <x:f>'假设'!G9</x:f>
        <x:v>2400000</x:v>
      </x:c>
      <x:c r="F39" s="34" t="n">
        <x:f>'假设'!H9</x:f>
        <x:v>3500000</x:v>
      </x:c>
      <x:c r="G39" s="34" t="n">
        <x:f>'租赁模式'!H9</x:f>
        <x:v>1900000</x:v>
      </x:c>
      <x:c r="H39" s="34" t="n">
        <x:f>G39-'EMC模式'!H9</x:f>
        <x:v>0</x:v>
      </x:c>
      <x:c r="I39" s="34" t="n">
        <x:f>'租赁模式'!K10</x:f>
        <x:v>3500000</x:v>
      </x:c>
      <x:c r="J39" s="34" t="n">
        <x:f>'租赁模式'!L10</x:f>
        <x:v>200000</x:v>
      </x:c>
      <x:c r="K39" s="34" t="n">
        <x:f>'租赁模式'!M10</x:f>
        <x:v>1426613.56131403</x:v>
      </x:c>
      <x:c r="L39" s="34" t="n">
        <x:f>'租赁模式'!N10</x:f>
        <x:v>0</x:v>
      </x:c>
      <x:c r="M39" s="34" t="n">
        <x:f>I39-J39-K39+L39</x:f>
        <x:v>1873386.43868597</x:v>
      </x:c>
      <x:c r="N39" s="34" t="n">
        <x:f>I39-'EMC模式'!K10</x:f>
        <x:v>0</x:v>
      </x:c>
      <x:c r="O39" s="34" t="n">
        <x:f>J39-'EMC模式'!L10</x:f>
        <x:v>-500000</x:v>
      </x:c>
      <x:c r="P39" s="34" t="n">
        <x:f>L39-'EMC模式'!N10</x:f>
        <x:v>0</x:v>
      </x:c>
      <x:c r="Q39" s="34" t="n">
        <x:f>M39-('EMC模式'!K10-'EMC模式'!L10-'EMC模式'!M10+'EMC模式'!N10)</x:f>
        <x:v>500000</x:v>
      </x:c>
      <x:c r="R39" s="22" t="str">
        <x:v>业主仍自付电费和运维；服务方收入与EMC接近，但运维管理成本更低</x:v>
      </x:c>
    </x:row>
    <x:row r="40" ht="22" hidden="0" customHeight="1">
      <x:c r="A40" t="str">
        <x:v>租赁</x:v>
      </x:c>
      <x:c r="B40" t="n">
        <x:v>5</x:v>
      </x:c>
      <x:c r="C40" s="34" t="n">
        <x:f>'假设'!E9</x:f>
        <x:v>13100000</x:v>
      </x:c>
      <x:c r="D40" s="34" t="n">
        <x:f>'假设'!F9</x:f>
        <x:v>7200000</x:v>
      </x:c>
      <x:c r="E40" s="34" t="n">
        <x:f>'假设'!G9</x:f>
        <x:v>2400000</x:v>
      </x:c>
      <x:c r="F40" s="34" t="n">
        <x:f>'假设'!H9</x:f>
        <x:v>3500000</x:v>
      </x:c>
      <x:c r="G40" s="34" t="n">
        <x:f>'租赁模式'!H10</x:f>
        <x:v>1900000</x:v>
      </x:c>
      <x:c r="H40" s="34" t="n">
        <x:f>G40-'EMC模式'!H10</x:f>
        <x:v>0</x:v>
      </x:c>
      <x:c r="I40" s="34" t="n">
        <x:f>'租赁模式'!K11</x:f>
        <x:v>3500000</x:v>
      </x:c>
      <x:c r="J40" s="34" t="n">
        <x:f>'租赁模式'!L11</x:f>
        <x:v>200000</x:v>
      </x:c>
      <x:c r="K40" s="34" t="n">
        <x:f>'租赁模式'!M11</x:f>
        <x:v>1426613.56131403</x:v>
      </x:c>
      <x:c r="L40" s="34" t="n">
        <x:f>'租赁模式'!N11</x:f>
        <x:v>0</x:v>
      </x:c>
      <x:c r="M40" s="34" t="n">
        <x:f>I40-J40-K40+L40</x:f>
        <x:v>1873386.43868597</x:v>
      </x:c>
      <x:c r="N40" s="34" t="n">
        <x:f>I40-'EMC模式'!K11</x:f>
        <x:v>0</x:v>
      </x:c>
      <x:c r="O40" s="34" t="n">
        <x:f>J40-'EMC模式'!L11</x:f>
        <x:v>-500000</x:v>
      </x:c>
      <x:c r="P40" s="34" t="n">
        <x:f>L40-'EMC模式'!N11</x:f>
        <x:v>0</x:v>
      </x:c>
      <x:c r="Q40" s="34" t="n">
        <x:f>M40-('EMC模式'!K11-'EMC模式'!L11-'EMC模式'!M11+'EMC模式'!N11)</x:f>
        <x:v>500000</x:v>
      </x:c>
      <x:c r="R40" s="22" t="str">
        <x:v>业主仍自付电费和运维；服务方收入与EMC接近，但运维管理成本更低</x:v>
      </x:c>
    </x:row>
    <x:row r="41" ht="22" hidden="0" customHeight="1">
      <x:c r="A41" t="str">
        <x:v>租赁</x:v>
      </x:c>
      <x:c r="B41" t="n">
        <x:v>6</x:v>
      </x:c>
      <x:c r="C41" s="34" t="n">
        <x:f>'假设'!E9</x:f>
        <x:v>13100000</x:v>
      </x:c>
      <x:c r="D41" s="34" t="n">
        <x:f>'假设'!F9</x:f>
        <x:v>7200000</x:v>
      </x:c>
      <x:c r="E41" s="34" t="n">
        <x:f>'假设'!G9</x:f>
        <x:v>2400000</x:v>
      </x:c>
      <x:c r="F41" s="34" t="n">
        <x:f>'假设'!H9</x:f>
        <x:v>3500000</x:v>
      </x:c>
      <x:c r="G41" s="34" t="n">
        <x:f>'租赁模式'!H11</x:f>
        <x:v>1900000</x:v>
      </x:c>
      <x:c r="H41" s="34" t="n">
        <x:f>G41-'EMC模式'!H11</x:f>
        <x:v>0</x:v>
      </x:c>
      <x:c r="I41" s="34" t="n">
        <x:f>'租赁模式'!K12</x:f>
        <x:v>3500000</x:v>
      </x:c>
      <x:c r="J41" s="34" t="n">
        <x:f>'租赁模式'!L12</x:f>
        <x:v>200000</x:v>
      </x:c>
      <x:c r="K41" s="34" t="n">
        <x:f>'租赁模式'!M12</x:f>
        <x:v>1426613.56131403</x:v>
      </x:c>
      <x:c r="L41" s="34" t="n">
        <x:f>'租赁模式'!N12</x:f>
        <x:v>0</x:v>
      </x:c>
      <x:c r="M41" s="34" t="n">
        <x:f>I41-J41-K41+L41</x:f>
        <x:v>1873386.43868597</x:v>
      </x:c>
      <x:c r="N41" s="34" t="n">
        <x:f>I41-'EMC模式'!K12</x:f>
        <x:v>0</x:v>
      </x:c>
      <x:c r="O41" s="34" t="n">
        <x:f>J41-'EMC模式'!L12</x:f>
        <x:v>-500000</x:v>
      </x:c>
      <x:c r="P41" s="34" t="n">
        <x:f>L41-'EMC模式'!N12</x:f>
        <x:v>0</x:v>
      </x:c>
      <x:c r="Q41" s="34" t="n">
        <x:f>M41-('EMC模式'!K12-'EMC模式'!L12-'EMC模式'!M12+'EMC模式'!N12)</x:f>
        <x:v>500000</x:v>
      </x:c>
      <x:c r="R41" s="22" t="str">
        <x:v>业主仍自付电费和运维；服务方收入与EMC接近，但运维管理成本更低</x:v>
      </x:c>
    </x:row>
    <x:row r="42" ht="22" hidden="0" customHeight="1">
      <x:c r="A42" t="str">
        <x:v>租赁</x:v>
      </x:c>
      <x:c r="B42" t="n">
        <x:v>7</x:v>
      </x:c>
      <x:c r="C42" s="34" t="n">
        <x:f>'假设'!E9</x:f>
        <x:v>13100000</x:v>
      </x:c>
      <x:c r="D42" s="34" t="n">
        <x:f>'假设'!F9</x:f>
        <x:v>7200000</x:v>
      </x:c>
      <x:c r="E42" s="34" t="n">
        <x:f>'假设'!G9</x:f>
        <x:v>2400000</x:v>
      </x:c>
      <x:c r="F42" s="34" t="n">
        <x:f>'假设'!H9</x:f>
        <x:v>3500000</x:v>
      </x:c>
      <x:c r="G42" s="34" t="n">
        <x:f>'租赁模式'!H12</x:f>
        <x:v>1900000</x:v>
      </x:c>
      <x:c r="H42" s="34" t="n">
        <x:f>G42-'EMC模式'!H12</x:f>
        <x:v>0</x:v>
      </x:c>
      <x:c r="I42" s="34" t="n">
        <x:f>'租赁模式'!K13</x:f>
        <x:v>3500000</x:v>
      </x:c>
      <x:c r="J42" s="34" t="n">
        <x:f>'租赁模式'!L13</x:f>
        <x:v>200000</x:v>
      </x:c>
      <x:c r="K42" s="34" t="n">
        <x:f>'租赁模式'!M13</x:f>
        <x:v>1426613.56131403</x:v>
      </x:c>
      <x:c r="L42" s="34" t="n">
        <x:f>'租赁模式'!N13</x:f>
        <x:v>0</x:v>
      </x:c>
      <x:c r="M42" s="34" t="n">
        <x:f>I42-J42-K42+L42</x:f>
        <x:v>1873386.43868597</x:v>
      </x:c>
      <x:c r="N42" s="34" t="n">
        <x:f>I42-'EMC模式'!K13</x:f>
        <x:v>0</x:v>
      </x:c>
      <x:c r="O42" s="34" t="n">
        <x:f>J42-'EMC模式'!L13</x:f>
        <x:v>-500000</x:v>
      </x:c>
      <x:c r="P42" s="34" t="n">
        <x:f>L42-'EMC模式'!N13</x:f>
        <x:v>0</x:v>
      </x:c>
      <x:c r="Q42" s="34" t="n">
        <x:f>M42-('EMC模式'!K13-'EMC模式'!L13-'EMC模式'!M13+'EMC模式'!N13)</x:f>
        <x:v>500000</x:v>
      </x:c>
      <x:c r="R42" s="22" t="str">
        <x:v>业主仍自付电费和运维；服务方收入与EMC接近，但运维管理成本更低</x:v>
      </x:c>
    </x:row>
    <x:row r="43" ht="22" hidden="0" customHeight="1">
      <x:c r="A43" t="str">
        <x:v>租赁</x:v>
      </x:c>
      <x:c r="B43" t="n">
        <x:v>8</x:v>
      </x:c>
      <x:c r="C43" s="34" t="n">
        <x:f>'假设'!E9</x:f>
        <x:v>13100000</x:v>
      </x:c>
      <x:c r="D43" s="34" t="n">
        <x:f>'假设'!F9</x:f>
        <x:v>7200000</x:v>
      </x:c>
      <x:c r="E43" s="34" t="n">
        <x:f>'假设'!G9</x:f>
        <x:v>2400000</x:v>
      </x:c>
      <x:c r="F43" s="34" t="n">
        <x:f>'假设'!H9</x:f>
        <x:v>3500000</x:v>
      </x:c>
      <x:c r="G43" s="34" t="n">
        <x:f>'租赁模式'!H13</x:f>
        <x:v>1900000</x:v>
      </x:c>
      <x:c r="H43" s="34" t="n">
        <x:f>G43-'EMC模式'!H13</x:f>
        <x:v>0</x:v>
      </x:c>
      <x:c r="I43" s="34" t="n">
        <x:f>'租赁模式'!K14</x:f>
        <x:v>3500000</x:v>
      </x:c>
      <x:c r="J43" s="34" t="n">
        <x:f>'租赁模式'!L14</x:f>
        <x:v>200000</x:v>
      </x:c>
      <x:c r="K43" s="34" t="n">
        <x:f>'租赁模式'!M14</x:f>
        <x:v>1426613.56131403</x:v>
      </x:c>
      <x:c r="L43" s="34" t="n">
        <x:f>'租赁模式'!N14</x:f>
        <x:v>0</x:v>
      </x:c>
      <x:c r="M43" s="34" t="n">
        <x:f>I43-J43-K43+L43</x:f>
        <x:v>1873386.43868597</x:v>
      </x:c>
      <x:c r="N43" s="34" t="n">
        <x:f>I43-'EMC模式'!K14</x:f>
        <x:v>0</x:v>
      </x:c>
      <x:c r="O43" s="34" t="n">
        <x:f>J43-'EMC模式'!L14</x:f>
        <x:v>-500000</x:v>
      </x:c>
      <x:c r="P43" s="34" t="n">
        <x:f>L43-'EMC模式'!N14</x:f>
        <x:v>0</x:v>
      </x:c>
      <x:c r="Q43" s="34" t="n">
        <x:f>M43-('EMC模式'!K14-'EMC模式'!L14-'EMC模式'!M14+'EMC模式'!N14)</x:f>
        <x:v>500000</x:v>
      </x:c>
      <x:c r="R43" s="22" t="str">
        <x:v>业主仍自付电费和运维；服务方收入与EMC接近，但运维管理成本更低</x:v>
      </x:c>
    </x:row>
    <x:row r="44" ht="22" hidden="0" customHeight="1">
      <x:c r="A44" t="str">
        <x:v>租赁</x:v>
      </x:c>
      <x:c r="B44" t="n">
        <x:v>9</x:v>
      </x:c>
      <x:c r="C44" s="34" t="n">
        <x:f>'假设'!E9</x:f>
        <x:v>13100000</x:v>
      </x:c>
      <x:c r="D44" s="34" t="n">
        <x:f>'假设'!F9</x:f>
        <x:v>7200000</x:v>
      </x:c>
      <x:c r="E44" s="34" t="n">
        <x:f>'假设'!G9</x:f>
        <x:v>2400000</x:v>
      </x:c>
      <x:c r="F44" s="34" t="n">
        <x:f>'假设'!H9</x:f>
        <x:v>3500000</x:v>
      </x:c>
      <x:c r="G44" s="34" t="n">
        <x:f>'租赁模式'!H14</x:f>
        <x:v>1900000</x:v>
      </x:c>
      <x:c r="H44" s="34" t="n">
        <x:f>G44-'EMC模式'!H14</x:f>
        <x:v>0</x:v>
      </x:c>
      <x:c r="I44" s="34" t="n">
        <x:f>'租赁模式'!K15</x:f>
        <x:v>3500000</x:v>
      </x:c>
      <x:c r="J44" s="34" t="n">
        <x:f>'租赁模式'!L15</x:f>
        <x:v>200000</x:v>
      </x:c>
      <x:c r="K44" s="34" t="n">
        <x:f>'租赁模式'!M15</x:f>
        <x:v>1426613.56131403</x:v>
      </x:c>
      <x:c r="L44" s="34" t="n">
        <x:f>'租赁模式'!N15</x:f>
        <x:v>0</x:v>
      </x:c>
      <x:c r="M44" s="34" t="n">
        <x:f>I44-J44-K44+L44</x:f>
        <x:v>1873386.43868597</x:v>
      </x:c>
      <x:c r="N44" s="34" t="n">
        <x:f>I44-'EMC模式'!K15</x:f>
        <x:v>0</x:v>
      </x:c>
      <x:c r="O44" s="34" t="n">
        <x:f>J44-'EMC模式'!L15</x:f>
        <x:v>-500000</x:v>
      </x:c>
      <x:c r="P44" s="34" t="n">
        <x:f>L44-'EMC模式'!N15</x:f>
        <x:v>0</x:v>
      </x:c>
      <x:c r="Q44" s="34" t="n">
        <x:f>M44-('EMC模式'!K15-'EMC模式'!L15-'EMC模式'!M15+'EMC模式'!N15)</x:f>
        <x:v>500000</x:v>
      </x:c>
      <x:c r="R44" s="22" t="str">
        <x:v>业主仍自付电费和运维；服务方收入与EMC接近，但运维管理成本更低</x:v>
      </x:c>
    </x:row>
    <x:row r="45" ht="22" hidden="0" customHeight="1">
      <x:c r="A45" t="str">
        <x:v>租赁</x:v>
      </x:c>
      <x:c r="B45" t="n">
        <x:v>10</x:v>
      </x:c>
      <x:c r="C45" s="34" t="n">
        <x:f>'假设'!E9</x:f>
        <x:v>13100000</x:v>
      </x:c>
      <x:c r="D45" s="34" t="n">
        <x:f>'假设'!F9</x:f>
        <x:v>7200000</x:v>
      </x:c>
      <x:c r="E45" s="34" t="n">
        <x:f>'假设'!G9</x:f>
        <x:v>2400000</x:v>
      </x:c>
      <x:c r="F45" s="34" t="n">
        <x:f>'假设'!H9</x:f>
        <x:v>3500000</x:v>
      </x:c>
      <x:c r="G45" s="34" t="n">
        <x:f>'租赁模式'!H15</x:f>
        <x:v>4400000</x:v>
      </x:c>
      <x:c r="H45" s="34" t="n">
        <x:f>G45-'EMC模式'!H15</x:f>
        <x:v>0</x:v>
      </x:c>
      <x:c r="I45" s="34" t="n">
        <x:f>'租赁模式'!K16</x:f>
        <x:v>3500000</x:v>
      </x:c>
      <x:c r="J45" s="34" t="n">
        <x:f>'租赁模式'!L16</x:f>
        <x:v>200000</x:v>
      </x:c>
      <x:c r="K45" s="34" t="n">
        <x:f>'租赁模式'!M16</x:f>
        <x:v>1426613.56131403</x:v>
      </x:c>
      <x:c r="L45" s="34" t="n">
        <x:f>'租赁模式'!N16</x:f>
        <x:v>0</x:v>
      </x:c>
      <x:c r="M45" s="34" t="n">
        <x:f>I45-J45-K45+L45</x:f>
        <x:v>1873386.43868597</x:v>
      </x:c>
      <x:c r="N45" s="34" t="n">
        <x:f>I45-'EMC模式'!K16</x:f>
        <x:v>0</x:v>
      </x:c>
      <x:c r="O45" s="34" t="n">
        <x:f>J45-'EMC模式'!L16</x:f>
        <x:v>-500000</x:v>
      </x:c>
      <x:c r="P45" s="34" t="n">
        <x:f>L45-'EMC模式'!N16</x:f>
        <x:v>0</x:v>
      </x:c>
      <x:c r="Q45" s="34" t="n">
        <x:f>M45-('EMC模式'!K16-'EMC模式'!L16-'EMC模式'!M16+'EMC模式'!N16)</x:f>
        <x:v>500000</x:v>
      </x:c>
      <x:c r="R45" s="22" t="str">
        <x:v>第10年含终值/残值归属；本模式下终值归甲方，因此甲方收益高于LaaS</x:v>
      </x:c>
    </x:row>
    <x:row r="46"/>
    <x:row r="47"/>
    <x:row r="48" ht="15" hidden="0" customHeight="1">
      <x:c r="A48" s="39" t="str">
        <x:v>快速解读</x:v>
      </x:c>
      <x:c r="B48" s="39"/>
      <x:c r="C48" s="39"/>
      <x:c r="D48" s="39"/>
      <x:c r="E48" s="39"/>
      <x:c r="F48" s="39"/>
    </x:row>
    <x:row r="49" ht="15" hidden="0" customHeight="1">
      <x:c r="A49" s="48" t="str">
        <x:v>观察点</x:v>
      </x:c>
      <x:c r="B49" s="48" t="str">
        <x:v>应该看哪几列</x:v>
      </x:c>
      <x:c r="C49" s="48" t="str">
        <x:v>你会看到什么</x:v>
      </x:c>
      <x:c r="D49" s="48" t="str">
        <x:v>业务解释</x:v>
      </x:c>
      <x:c r="E49" s="48" t="str">
        <x:v>结论提示</x:v>
      </x:c>
      <x:c r="F49" s="48"/>
    </x:row>
    <x:row r="50" ht="15" hidden="0" customHeight="1">
      <x:c r="A50" t="str">
        <x:v>甲方差异</x:v>
      </x:c>
      <x:c r="B50" t="str">
        <x:v>D~H</x:v>
      </x:c>
      <x:c r="C50" t="str">
        <x:v>前9年四种模式甲方收益基本一致，第10年LaaS少了甲方终值</x:v>
      </x:c>
      <x:c r="D50" t="str">
        <x:v>在业主总投入恒定时，甲方真正被拉开的是资产/终值归属</x:v>
      </x:c>
      <x:c r="E50" t="str">
        <x:v>甲方若重视最终资产，LaaS通常需要另行设计买断/回购条款</x:v>
      </x:c>
      <x:c r="F50"/>
    </x:row>
    <x:row r="51" ht="15" hidden="0" customHeight="1">
      <x:c r="A51" t="str">
        <x:v>服务方差异</x:v>
      </x:c>
      <x:c r="B51" t="str">
        <x:v>I~Q</x:v>
      </x:c>
      <x:c r="C51" t="str">
        <x:v>能源托管收入最高但成本也最高；租赁成本最低；LaaS在第10年拿到残值</x:v>
      </x:c>
      <x:c r="D51" t="str">
        <x:v>同一业主支付额下，差异来自服务费口径和谁承担运维、电费、残值</x:v>
      </x:c>
      <x:c r="E51" t="str">
        <x:v>服务方若追求更高尾部价值，LaaS更有吸引力</x:v>
      </x:c>
      <x:c r="F51"/>
    </x:row>
    <x:row r="52" ht="15" hidden="0" customHeight="1">
      <x:c r="A52" t="str">
        <x:v>不拉开差异的部分</x:v>
      </x:c>
      <x:c r="B52" t="str">
        <x:v>逐年利润对比!A35:E39</x:v>
      </x:c>
      <x:c r="C52" t="str">
        <x:v>设备商、EPC、债务条件基本相同</x:v>
      </x:c>
      <x:c r="D52" t="str">
        <x:v>这类收益主要在建设期或统一融资条件下已锁定</x:v>
      </x:c>
      <x:c r="E52" t="str">
        <x:v>运营期真正值得谈判的是服务费和资产归属</x:v>
      </x:c>
      <x:c r="F52"/>
    </x:row>
    <x:row r="53"/>
  </x:sheetData>
  <x:conditionalFormatting sqref="H6:H45">
    <x:cfRule type="cellIs" dxfId="0" priority="1" operator="greaterThan">
      <x:formula>0</x:formula>
    </x:cfRule>
    <x:cfRule type="cellIs" dxfId="1" priority="2" operator="lessThan">
      <x:formula>0</x:formula>
    </x:cfRule>
  </x:conditionalFormatting>
  <x:conditionalFormatting sqref="Q6:Q45">
    <x:cfRule type="cellIs" dxfId="2" priority="3" operator="greaterThan">
      <x:formula>0</x:formula>
    </x:cfRule>
    <x:cfRule type="cellIs" dxfId="3" priority="4" operator="lessThan">
      <x:formula>0</x:formula>
    </x:cfRule>
  </x:conditionalFormatting>
  <x:pageMargins left="0.7" right="0.7" top="0.75" bottom="0.75" header="0.3" footer="0.3"/>
</x:worksheet>
</file>