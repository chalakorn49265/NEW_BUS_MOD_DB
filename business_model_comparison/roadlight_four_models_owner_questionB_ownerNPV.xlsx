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wner_NPV_Comparison" sheetId="1" state="visible" r:id="rId1"/>
    <sheet name="假设" sheetId="2" state="visible" r:id="rId2"/>
    <sheet name="融资摊还" sheetId="3" state="visible" r:id="rId3"/>
    <sheet name="汇总对比" sheetId="4" state="visible" r:id="rId4"/>
    <sheet name="EMC模式" sheetId="5" state="visible" r:id="rId5"/>
    <sheet name="能源托管模式" sheetId="6" state="visible" r:id="rId6"/>
    <sheet name="LaaS模式" sheetId="7" state="visible" r:id="rId7"/>
    <sheet name="租赁模式" sheetId="8" state="visible" r:id="rId8"/>
    <sheet name="来源" sheetId="9" state="visible" r:id="rId9"/>
    <sheet name="逐年利润对比" sheetId="10" state="visible" r:id="rId10"/>
    <sheet name="年度差异来源" sheetId="11" state="visible" r:id="rId11"/>
  </sheets>
  <definedNames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10">
    <font>
      <name val="Carlito"/>
      <sz val="11"/>
    </font>
    <font>
      <name val="Carlito"/>
      <b val="1"/>
      <color theme="0"/>
      <sz val="16"/>
    </font>
    <font>
      <name val="Carlito"/>
      <i val="1"/>
      <color rgb="00555555"/>
      <sz val="10"/>
    </font>
    <font>
      <name val="Carlito"/>
      <b val="1"/>
      <color rgb="001F1F1F"/>
      <sz val="11"/>
    </font>
    <font>
      <name val="Carlito"/>
      <b val="1"/>
      <color theme="1"/>
      <sz val="15"/>
    </font>
    <font>
      <name val="Carlito"/>
      <b val="1"/>
      <sz val="12"/>
    </font>
    <font>
      <name val="Carlito"/>
      <b val="1"/>
      <color theme="0"/>
      <sz val="11"/>
    </font>
    <font>
      <name val="Carlito"/>
      <b val="1"/>
      <sz val="15"/>
    </font>
    <font>
      <b val="1"/>
      <color rgb="00FFFFFF"/>
    </font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rgb="00D9EAF7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001F3864"/>
      </patternFill>
    </fill>
  </fills>
  <borders count="2">
    <border/>
    <border/>
  </borders>
  <cellStyleXfs count="1">
    <xf numFmtId="0" fontId="0" fillId="0" borderId="1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3" borderId="0" pivotButton="0" quotePrefix="0" xfId="0"/>
    <xf numFmtId="0" fontId="0" fillId="3" borderId="1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3" fillId="3" borderId="0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0" pivotButton="0" quotePrefix="0" xfId="0"/>
    <xf numFmtId="3" fontId="3" fillId="3" borderId="0" applyAlignment="1" pivotButton="0" quotePrefix="0" xfId="0">
      <alignment horizontal="center" vertical="center"/>
    </xf>
    <xf numFmtId="3" fontId="0" fillId="0" borderId="0" pivotButton="0" quotePrefix="0" xfId="0"/>
    <xf numFmtId="1" fontId="0" fillId="0" borderId="0" pivotButton="0" quotePrefix="0" xfId="0"/>
    <xf numFmtId="3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3" fontId="6" fillId="5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8" fillId="8" borderId="1" applyAlignment="1" pivotButton="0" quotePrefix="0" xfId="0">
      <alignment horizontal="left" vertical="center"/>
    </xf>
    <xf numFmtId="0" fontId="9" fillId="0" borderId="0" pivotButton="0" quotePrefix="0" xfId="0"/>
    <xf numFmtId="0" fontId="0" fillId="0" borderId="1" applyAlignment="1" pivotButton="0" quotePrefix="0" xfId="0">
      <alignment vertical="top" wrapText="1"/>
    </xf>
    <xf numFmtId="0" fontId="8" fillId="8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3" fontId="0" fillId="0" borderId="0" applyAlignment="1" pivotButton="0" quotePrefix="0" xfId="0">
      <alignment wrapText="1"/>
    </xf>
    <xf numFmtId="165" fontId="0" fillId="0" borderId="0" pivotButton="0" quotePrefix="0" xfId="0"/>
    <xf numFmtId="0" fontId="8" fillId="8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" fontId="0" fillId="0" borderId="0" pivotButton="0" quotePrefix="0" xfId="0"/>
    <xf numFmtId="3" fontId="0" fillId="0" borderId="0" applyAlignment="1" pivotButton="0" quotePrefix="0" xfId="0">
      <alignment horizontal="right"/>
    </xf>
    <xf numFmtId="3" fontId="6" fillId="5" borderId="0" pivotButton="0" quotePrefix="0" xfId="0"/>
  </cellXfs>
  <cellStyles count="1">
    <cellStyle name="Normal" xfId="0"/>
  </cellStyles>
  <dxfs count="4">
    <dxf>
      <font>
        <color rgb="00166534"/>
      </font>
      <fill>
        <patternFill patternType="solid">
          <bgColor rgb="00DCFCE7"/>
        </patternFill>
      </fill>
    </dxf>
    <dxf>
      <font>
        <color rgb="00991B1B"/>
      </font>
      <fill>
        <patternFill patternType="solid">
          <bgColor rgb="00FEE2E2"/>
        </patternFill>
      </fill>
    </dxf>
    <dxf>
      <font>
        <color rgb="00166534"/>
      </font>
      <fill>
        <patternFill patternType="solid">
          <bgColor rgb="00DCFCE7"/>
        </patternFill>
      </fill>
    </dxf>
    <dxf>
      <font>
        <color rgb="00991B1B"/>
      </font>
      <fill>
        <patternFill patternType="solid"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甲方 vs 核心服务方：10年净收益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EMC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'Summary'!$I$6:$I$7</f>
              <numCache>
                <formatCode>#,##0;[Red]-#,##0</formatCode>
                <ptCount val="0"/>
              </numCache>
            </numRef>
          </val>
        </ser>
        <ser>
          <idx val="1"/>
          <order val="1"/>
          <tx>
            <v>Managed Energy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'Summary'!$J$6:$J$7</f>
              <numCache>
                <formatCode>#,##0;[Red]-#,##0</formatCode>
                <ptCount val="0"/>
              </numCache>
            </numRef>
          </val>
        </ser>
        <ser>
          <idx val="2"/>
          <order val="2"/>
          <tx>
            <v>LaaS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'Summary'!$K$6:$K$7</f>
              <numCache>
                <formatCode>#,##0;[Red]-#,##0</formatCode>
                <ptCount val="0"/>
              </numCache>
            </numRef>
          </val>
        </ser>
        <ser>
          <idx val="3"/>
          <order val="3"/>
          <tx>
            <v>Leasing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'Summary'!$L$6:$L$7</f>
              <numCache>
                <formatCode>#,##0;[Red]-#,##0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主要参与方收益对比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EMC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'Summary'!$I$6:$I$8</f>
              <numCache>
                <formatCode>#,##0;[Red]-#,##0</formatCode>
                <ptCount val="0"/>
              </numCache>
            </numRef>
          </val>
        </ser>
        <ser>
          <idx val="1"/>
          <order val="1"/>
          <tx>
            <v>Managed Energy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'Summary'!$J$6:$J$8</f>
              <numCache>
                <formatCode>#,##0;[Red]-#,##0</formatCode>
                <ptCount val="0"/>
              </numCache>
            </numRef>
          </val>
        </ser>
        <ser>
          <idx val="2"/>
          <order val="2"/>
          <tx>
            <v>LaaS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'Summary'!$K$6:$K$8</f>
              <numCache>
                <formatCode>#,##0;[Red]-#,##0</formatCode>
                <ptCount val="0"/>
              </numCache>
            </numRef>
          </val>
        </ser>
        <ser>
          <idx val="3"/>
          <order val="3"/>
          <tx>
            <v>Leasing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'Summary'!$L$6:$L$8</f>
              <numCache>
                <formatCode>#,##0;[Red]-#,##0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9</row>
      <rowOff>0</rowOff>
    </from>
    <to>
      <col>14</col>
      <colOff>0</colOff>
      <row>26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14</col>
      <colOff>0</colOff>
      <row>9</row>
      <rowOff>0</rowOff>
    </from>
    <to>
      <col>22</col>
      <colOff>0</colOff>
      <row>26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almBlue">
  <a:themeElements>
    <a:clrScheme name="CalmBlue">
      <a:dk1>
        <a:srgbClr val="1F1F1F"/>
      </a:dk1>
      <a:lt1>
        <a:srgbClr val="FFFFFF"/>
      </a:lt1>
      <a:dk2>
        <a:srgbClr val="0E2841"/>
      </a:dk2>
      <a:lt2>
        <a:srgbClr val="F5F7FA"/>
      </a:lt2>
      <a:accent1>
        <a:srgbClr val="1F4E79"/>
      </a:accent1>
      <a:accent2>
        <a:srgbClr val="5B9BD5"/>
      </a:accent2>
      <a:accent3>
        <a:srgbClr val="70AD47"/>
      </a:accent3>
      <a:accent4>
        <a:srgbClr val="ED7D31"/>
      </a:accent4>
      <a:accent5>
        <a:srgbClr val="A5A5A5"/>
      </a:accent5>
      <a:accent6>
        <a:srgbClr val="FFC000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alm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8" customWidth="1" style="32" min="2" max="2"/>
    <col width="18" customWidth="1" style="32" min="3" max="3"/>
    <col width="18" customWidth="1" style="32" min="4" max="4"/>
    <col width="18" customWidth="1" style="32" min="5" max="5"/>
    <col width="22" customWidth="1" style="32" min="6" max="6"/>
    <col width="34" customWidth="1" style="32" min="7" max="7"/>
  </cols>
  <sheetData>
    <row r="1">
      <c r="A1" s="52" t="inlineStr">
        <is>
          <t>Question B：哪种模式让甲方付得更少？（甲方NPV(总支出) 最低）</t>
        </is>
      </c>
      <c r="B1" s="1" t="n"/>
      <c r="C1" s="1" t="n"/>
      <c r="D1" s="1" t="n"/>
      <c r="E1" s="1" t="n"/>
      <c r="F1" s="1" t="n"/>
      <c r="G1" s="1" t="n"/>
    </row>
    <row r="3">
      <c r="A3" s="53" t="inlineStr">
        <is>
          <t>折现率（甲方，年）</t>
        </is>
      </c>
      <c r="B3">
        <f>假设!B36</f>
        <v/>
      </c>
      <c r="D3" s="53" t="inlineStr">
        <is>
          <t>Mode</t>
        </is>
      </c>
      <c r="E3">
        <f>假设!B34</f>
        <v/>
      </c>
    </row>
    <row r="4">
      <c r="A4" s="53" t="inlineStr">
        <is>
          <t>Baseline（市电含电缆）年成本</t>
        </is>
      </c>
      <c r="B4">
        <f>'假设'!$B$29</f>
        <v/>
      </c>
      <c r="D4" s="53" t="inlineStr">
        <is>
          <t>Baseline NPV(cost)</t>
        </is>
      </c>
      <c r="E4">
        <f>NPV($B$3,$B$11:$K$11)</f>
        <v/>
      </c>
    </row>
    <row r="5">
      <c r="A5" s="53" t="inlineStr">
        <is>
          <t>说明</t>
        </is>
      </c>
      <c r="B5" s="54" t="inlineStr">
        <is>
          <t>本页按各模式表中的“甲方实际流出（Mode_B公式）”计算NPV(cost)。ΔNPV&gt;0 表示相对基线省钱。</t>
        </is>
      </c>
      <c r="C5" s="1" t="n"/>
      <c r="D5" s="1" t="n"/>
      <c r="E5" s="1" t="n"/>
      <c r="F5" s="1" t="n"/>
      <c r="G5" s="1" t="n"/>
    </row>
    <row r="7">
      <c r="A7" s="55" t="inlineStr">
        <is>
          <t>模式</t>
        </is>
      </c>
      <c r="B7" s="55" t="inlineStr">
        <is>
          <t>Y1</t>
        </is>
      </c>
      <c r="C7" s="55" t="inlineStr">
        <is>
          <t>Y2</t>
        </is>
      </c>
      <c r="D7" s="55" t="inlineStr">
        <is>
          <t>Y3</t>
        </is>
      </c>
      <c r="E7" s="55" t="inlineStr">
        <is>
          <t>Y4</t>
        </is>
      </c>
      <c r="F7" s="55" t="inlineStr">
        <is>
          <t>…</t>
        </is>
      </c>
      <c r="G7" s="55" t="inlineStr">
        <is>
          <t>NPV(cost) and Delta vs baseline</t>
        </is>
      </c>
    </row>
    <row r="8">
      <c r="A8" t="inlineStr">
        <is>
          <t>EMC</t>
        </is>
      </c>
      <c r="B8">
        <f>'EMC模式'!F6</f>
        <v/>
      </c>
      <c r="C8">
        <f>'EMC模式'!F7</f>
        <v/>
      </c>
      <c r="D8">
        <f>'EMC模式'!F8</f>
        <v/>
      </c>
      <c r="E8">
        <f>'EMC模式'!F9</f>
        <v/>
      </c>
      <c r="F8" t="inlineStr">
        <is>
          <t>…</t>
        </is>
      </c>
      <c r="G8">
        <f>NPV($B$3,'EMC模式'!F6:F15)&amp;" | Delta="&amp;($E$4-NPV($B$3,'EMC模式'!F6:F15))</f>
        <v/>
      </c>
    </row>
    <row r="9">
      <c r="A9" t="inlineStr">
        <is>
          <t>能源托管</t>
        </is>
      </c>
      <c r="B9">
        <f>'能源托管模式'!F6</f>
        <v/>
      </c>
      <c r="C9">
        <f>'能源托管模式'!F7</f>
        <v/>
      </c>
      <c r="D9">
        <f>'能源托管模式'!F8</f>
        <v/>
      </c>
      <c r="E9">
        <f>'能源托管模式'!F9</f>
        <v/>
      </c>
      <c r="F9" t="inlineStr">
        <is>
          <t>…</t>
        </is>
      </c>
      <c r="G9">
        <f>NPV($B$3,'能源托管模式'!F6:F15)&amp;" | Delta="&amp;($E$4-NPV($B$3,'能源托管模式'!F6:F15))</f>
        <v/>
      </c>
    </row>
    <row r="10">
      <c r="A10" s="53" t="inlineStr">
        <is>
          <t>LaaS</t>
        </is>
      </c>
      <c r="B10">
        <f>'LaaS模式'!F6</f>
        <v/>
      </c>
      <c r="C10">
        <f>'LaaS模式'!F7</f>
        <v/>
      </c>
      <c r="D10">
        <f>'LaaS模式'!F8</f>
        <v/>
      </c>
      <c r="E10">
        <f>'LaaS模式'!F9</f>
        <v/>
      </c>
      <c r="F10" t="inlineStr">
        <is>
          <t>…</t>
        </is>
      </c>
      <c r="G10">
        <f>NPV($B$3,'LaaS模式'!F6:F15)&amp;" | Delta="&amp;($E$4-NPV($B$3,'LaaS模式'!F6:F15))</f>
        <v/>
      </c>
    </row>
    <row r="11">
      <c r="A11" s="53" t="inlineStr">
        <is>
          <t>租赁</t>
        </is>
      </c>
      <c r="B11">
        <f>'租赁模式'!F6</f>
        <v/>
      </c>
      <c r="C11">
        <f>'租赁模式'!F7</f>
        <v/>
      </c>
      <c r="D11">
        <f>'租赁模式'!F8</f>
        <v/>
      </c>
      <c r="E11">
        <f>'租赁模式'!F9</f>
        <v/>
      </c>
      <c r="F11" t="inlineStr">
        <is>
          <t>…</t>
        </is>
      </c>
      <c r="G11">
        <f>NPV($B$3,'租赁模式'!F6:F15)&amp;" | Delta="&amp;($E$4-NPV($B$3,'租赁模式'!F6:F15))</f>
        <v/>
      </c>
      <c r="H11">
        <f>'假设'!$B$29</f>
        <v/>
      </c>
      <c r="I11">
        <f>'假设'!$B$29</f>
        <v/>
      </c>
      <c r="J11">
        <f>'假设'!$B$29</f>
        <v/>
      </c>
      <c r="K11">
        <f>'假设'!$B$29</f>
        <v/>
      </c>
    </row>
  </sheetData>
  <mergeCells count="2">
    <mergeCell ref="B5:G5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4" customWidth="1" style="32" min="1" max="1"/>
    <col width="16" customWidth="1" style="32" min="2" max="2"/>
    <col width="85" customWidth="1" style="32" min="3" max="3"/>
    <col width="18" customWidth="1" style="32" min="4" max="4"/>
    <col width="18" customWidth="1" style="32" min="5" max="5"/>
    <col width="18" customWidth="1" style="32" min="6" max="6"/>
    <col width="18" customWidth="1" style="32" min="7" max="7"/>
    <col width="18" customWidth="1" style="32" min="8" max="8"/>
    <col width="20.86000061035156" customWidth="1" style="32" min="9" max="9"/>
    <col width="14.56999969482422" customWidth="1" style="32" min="10" max="10"/>
  </cols>
  <sheetData>
    <row r="1" ht="19.53125" customHeight="1" s="32">
      <c r="A1" s="9" t="inlineStr">
        <is>
          <t>路灯项目四种模式对照实验（业主年投入恒定）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口径：10年期；同一项目规模、同一节能效果、同一CAPEX与融资比例，并将“业主年总投入”固定为同一数值，仅比较不同合同结构如何分配收益。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6" t="inlineStr">
        <is>
          <t>全局假设</t>
        </is>
      </c>
      <c r="B5" s="56" t="inlineStr">
        <is>
          <t>数值</t>
        </is>
      </c>
      <c r="C5" s="57" t="n"/>
      <c r="D5" s="56" t="inlineStr">
        <is>
          <t>模式</t>
        </is>
      </c>
      <c r="E5" s="56" t="inlineStr">
        <is>
          <t>业主年总投入（恒定）</t>
        </is>
      </c>
      <c r="F5" s="56" t="inlineStr">
        <is>
          <t>业主自付电费</t>
        </is>
      </c>
      <c r="G5" s="56" t="inlineStr">
        <is>
          <t>业主自付运维</t>
        </is>
      </c>
      <c r="H5" s="56" t="inlineStr">
        <is>
          <t>支付给核心服务方的费用</t>
        </is>
      </c>
      <c r="I5" s="20" t="inlineStr">
        <is>
          <t>核心服务方第10年残值</t>
        </is>
      </c>
      <c r="J5" s="20" t="inlineStr">
        <is>
          <t>甲方第10年终值</t>
        </is>
      </c>
    </row>
    <row r="6" ht="15" customHeight="1" s="32">
      <c r="A6" s="57" t="inlineStr">
        <is>
          <t>分析期（年）</t>
        </is>
      </c>
      <c r="B6" s="57" t="n">
        <v>10</v>
      </c>
      <c r="C6" s="57" t="n"/>
      <c r="D6" s="57" t="inlineStr">
        <is>
          <t>EMC</t>
        </is>
      </c>
      <c r="E6" s="57">
        <f>$B$16</f>
        <v/>
      </c>
      <c r="F6" s="57">
        <f>$B$11</f>
        <v/>
      </c>
      <c r="G6" s="57">
        <f>$B$12</f>
        <v/>
      </c>
      <c r="H6" s="57">
        <f>E6-F6-G6</f>
        <v/>
      </c>
      <c r="I6" s="58" t="n">
        <v>0</v>
      </c>
      <c r="J6" s="58">
        <f>B21</f>
        <v/>
      </c>
    </row>
    <row r="7" ht="15" customHeight="1" s="32">
      <c r="A7" s="57" t="inlineStr">
        <is>
          <t>资产经济寿命（年）</t>
        </is>
      </c>
      <c r="B7" s="57" t="n">
        <v>12</v>
      </c>
      <c r="C7" s="57" t="n"/>
      <c r="D7" s="57" t="inlineStr">
        <is>
          <t>能源托管</t>
        </is>
      </c>
      <c r="E7" s="57">
        <f>$B$16</f>
        <v/>
      </c>
      <c r="F7" s="57">
        <f>0</f>
        <v/>
      </c>
      <c r="G7" s="57">
        <f>0</f>
        <v/>
      </c>
      <c r="H7" s="57">
        <f>E7-F7-G7</f>
        <v/>
      </c>
      <c r="I7" s="58" t="n">
        <v>0</v>
      </c>
      <c r="J7" s="58">
        <f>B21</f>
        <v/>
      </c>
    </row>
    <row r="8" ht="15" customHeight="1" s="32">
      <c r="A8" s="57" t="inlineStr">
        <is>
          <t>改造CAPEX</t>
        </is>
      </c>
      <c r="B8" s="57" t="n">
        <v>15000000</v>
      </c>
      <c r="C8" s="57" t="n"/>
      <c r="D8" s="57" t="inlineStr">
        <is>
          <t>LaaS</t>
        </is>
      </c>
      <c r="E8" s="57">
        <f>$B$16</f>
        <v/>
      </c>
      <c r="F8" s="57">
        <f>$B$11</f>
        <v/>
      </c>
      <c r="G8" s="57">
        <f>0</f>
        <v/>
      </c>
      <c r="H8" s="57">
        <f>E8-F8-G8</f>
        <v/>
      </c>
      <c r="I8" s="58">
        <f>B21</f>
        <v/>
      </c>
      <c r="J8" s="58" t="n">
        <v>0</v>
      </c>
    </row>
    <row r="9" ht="15" customHeight="1" s="32">
      <c r="A9" s="57" t="inlineStr">
        <is>
          <t>改造前年电费</t>
        </is>
      </c>
      <c r="B9" s="57" t="n">
        <v>12000000</v>
      </c>
      <c r="C9" s="57" t="n"/>
      <c r="D9" s="57" t="inlineStr">
        <is>
          <t>租赁</t>
        </is>
      </c>
      <c r="E9" s="57">
        <f>$B$16</f>
        <v/>
      </c>
      <c r="F9" s="57">
        <f>$B$11</f>
        <v/>
      </c>
      <c r="G9" s="57">
        <f>$B$12</f>
        <v/>
      </c>
      <c r="H9" s="57">
        <f>E9-F9-G9</f>
        <v/>
      </c>
      <c r="I9" s="58" t="n">
        <v>0</v>
      </c>
      <c r="J9" s="58">
        <f>B21</f>
        <v/>
      </c>
    </row>
    <row r="10" ht="15" customHeight="1" s="32">
      <c r="A10" s="57" t="inlineStr">
        <is>
          <t>改造前年运维费</t>
        </is>
      </c>
      <c r="B10" s="57" t="n">
        <v>3000000</v>
      </c>
      <c r="C10" s="57" t="n"/>
      <c r="D10" s="57" t="n"/>
      <c r="E10" s="57" t="n"/>
      <c r="F10" s="57" t="n"/>
      <c r="G10" s="57" t="n"/>
      <c r="H10" s="57" t="n"/>
    </row>
    <row r="11" ht="15" customHeight="1" s="32">
      <c r="A11" s="57" t="inlineStr">
        <is>
          <t>改造后年电费</t>
        </is>
      </c>
      <c r="B11" s="57" t="n">
        <v>7200000</v>
      </c>
      <c r="C11" s="57" t="n"/>
      <c r="D11" s="57" t="n"/>
      <c r="E11" s="57" t="n"/>
      <c r="F11" s="57" t="n"/>
      <c r="G11" s="57" t="n"/>
      <c r="H11" s="57" t="n"/>
    </row>
    <row r="12" ht="15" customHeight="1" s="32">
      <c r="A12" s="57" t="inlineStr">
        <is>
          <t>改造后年运维费</t>
        </is>
      </c>
      <c r="B12" s="57" t="n">
        <v>2400000</v>
      </c>
      <c r="C12" s="57" t="n"/>
      <c r="D12" s="59" t="inlineStr">
        <is>
          <t>如何理解本工作簿</t>
        </is>
      </c>
      <c r="E12" s="59" t="n"/>
      <c r="F12" s="59" t="n"/>
      <c r="G12" s="59" t="n"/>
      <c r="H12" s="59" t="n"/>
      <c r="I12" s="22" t="str"/>
      <c r="J12" s="22" t="str"/>
    </row>
    <row r="13" ht="15" customHeight="1" s="32">
      <c r="A13" s="57" t="inlineStr">
        <is>
          <t>平台/软件年成本</t>
        </is>
      </c>
      <c r="B13" s="57" t="n">
        <v>400000</v>
      </c>
      <c r="C13" s="57" t="n"/>
      <c r="D13" s="59" t="inlineStr">
        <is>
          <t>业主年总投入恒定</t>
        </is>
      </c>
      <c r="E13" s="59" t="inlineStr">
        <is>
          <t>四种模式的“甲方实际流出”统一锁定为同一个年金额，默认值见B16，可直接改。</t>
        </is>
      </c>
      <c r="F13" s="59" t="n"/>
      <c r="G13" s="59" t="n"/>
      <c r="H13" s="59" t="n"/>
      <c r="I13" s="22" t="str"/>
      <c r="J13" s="22" t="str"/>
    </row>
    <row r="14" ht="15" customHeight="1" s="32">
      <c r="A14" s="57" t="inlineStr">
        <is>
          <t>EMC服务运营年成本</t>
        </is>
      </c>
      <c r="B14" s="57" t="n">
        <v>700000</v>
      </c>
      <c r="C14" s="57" t="n"/>
      <c r="D14" s="59" t="inlineStr">
        <is>
          <t>谁的利润会变化</t>
        </is>
      </c>
      <c r="E14" s="59" t="inlineStr">
        <is>
          <t>在同一业主支付额下，变化最大的是核心服务方净现金；甲方差异主要来自终值/资产归属。</t>
        </is>
      </c>
      <c r="F14" s="59" t="n"/>
      <c r="G14" s="59" t="n"/>
      <c r="H14" s="59" t="n"/>
      <c r="I14" s="22" t="str"/>
      <c r="J14" s="22" t="str"/>
    </row>
    <row r="15" ht="15" customHeight="1" s="32">
      <c r="A15" s="57" t="inlineStr">
        <is>
          <t>租赁服务管理年成本</t>
        </is>
      </c>
      <c r="B15" s="57" t="n">
        <v>200000</v>
      </c>
      <c r="C15" s="57" t="n"/>
      <c r="D15" s="59" t="inlineStr">
        <is>
          <t>何时会出现不可行</t>
        </is>
      </c>
      <c r="E15" s="59" t="inlineStr">
        <is>
          <t>如果B16过低，会导致某些模式下“支付给核心服务方的费用”为负数，说明该模式在该支付约束下不可成立。</t>
        </is>
      </c>
      <c r="F15" s="59" t="n"/>
      <c r="G15" s="59" t="n"/>
      <c r="H15" s="59" t="n"/>
      <c r="I15" s="22" t="str"/>
      <c r="J15" s="22" t="str"/>
    </row>
    <row r="16" ht="15" customHeight="1" s="32">
      <c r="A16" s="57" t="inlineStr">
        <is>
          <t>业主年总投入（恒定，可调）</t>
        </is>
      </c>
      <c r="B16" s="57" t="n">
        <v>13100000</v>
      </c>
      <c r="C16" s="57" t="n"/>
      <c r="D16" s="57" t="n"/>
      <c r="E16" s="57" t="n"/>
      <c r="F16" s="57" t="n"/>
      <c r="G16" s="57" t="n"/>
      <c r="H16" s="57" t="n"/>
    </row>
    <row r="17" ht="15" customHeight="1" s="32">
      <c r="A17" s="57" t="inlineStr">
        <is>
          <t>债务比例</t>
        </is>
      </c>
      <c r="B17" s="60" t="n">
        <v>0.7</v>
      </c>
      <c r="C17" s="57" t="n"/>
      <c r="D17" s="57" t="n"/>
      <c r="E17" s="57" t="n"/>
      <c r="F17" s="57" t="n"/>
      <c r="G17" s="57" t="n"/>
      <c r="H17" s="57" t="n"/>
    </row>
    <row r="18" ht="15" customHeight="1" s="32">
      <c r="A18" s="57" t="inlineStr">
        <is>
          <t>贷款利率</t>
        </is>
      </c>
      <c r="B18" s="60" t="n">
        <v>0.06</v>
      </c>
      <c r="C18" s="57" t="n"/>
      <c r="D18" s="57" t="n"/>
      <c r="E18" s="57" t="n"/>
      <c r="F18" s="57" t="n"/>
      <c r="G18" s="57" t="n"/>
      <c r="H18" s="57" t="n"/>
    </row>
    <row r="19" ht="15" customHeight="1" s="32">
      <c r="A19" s="57" t="inlineStr">
        <is>
          <t>资金方资金成本</t>
        </is>
      </c>
      <c r="B19" s="60" t="n">
        <v>0.035</v>
      </c>
      <c r="C19" s="57" t="n"/>
      <c r="D19" s="57" t="n"/>
      <c r="E19" s="57" t="n"/>
      <c r="F19" s="57" t="n"/>
      <c r="G19" s="57" t="n"/>
      <c r="H19" s="57" t="n"/>
    </row>
    <row r="20" ht="15" customHeight="1" s="32">
      <c r="A20" s="57" t="inlineStr">
        <is>
          <t>设备收入占CAPEX比例</t>
        </is>
      </c>
      <c r="B20" s="60" t="n">
        <v>0.8</v>
      </c>
      <c r="C20" s="57" t="n"/>
      <c r="D20" s="57" t="n"/>
      <c r="E20" s="57" t="n"/>
      <c r="F20" s="57" t="n"/>
      <c r="G20" s="57" t="n"/>
      <c r="H20" s="57" t="n"/>
    </row>
    <row r="21" ht="15" customHeight="1" s="32">
      <c r="A21" s="57" t="inlineStr">
        <is>
          <t>设备毛利率</t>
        </is>
      </c>
      <c r="B21" s="60" t="n">
        <v>0.225</v>
      </c>
      <c r="C21" s="57" t="n"/>
      <c r="D21" s="57" t="n"/>
      <c r="E21" s="57" t="n"/>
      <c r="F21" s="57" t="n"/>
      <c r="G21" s="57" t="n"/>
      <c r="H21" s="57" t="n"/>
    </row>
    <row r="22" ht="15" customHeight="1" s="32">
      <c r="A22" s="57" t="inlineStr">
        <is>
          <t>EPC收入占CAPEX比例</t>
        </is>
      </c>
      <c r="B22" s="60" t="n">
        <v>0.2</v>
      </c>
      <c r="C22" s="57" t="n"/>
      <c r="D22" s="57" t="n"/>
      <c r="E22" s="57" t="n"/>
      <c r="F22" s="57" t="n"/>
      <c r="G22" s="57" t="n"/>
      <c r="H22" s="57" t="n"/>
    </row>
    <row r="23" ht="15" customHeight="1" s="32">
      <c r="A23" s="57" t="inlineStr">
        <is>
          <t>EPC毛利率</t>
        </is>
      </c>
      <c r="B23" s="60" t="n">
        <v>0.2</v>
      </c>
      <c r="C23" s="57" t="n"/>
      <c r="D23" s="57" t="n"/>
      <c r="E23" s="57" t="n"/>
      <c r="F23" s="57" t="n"/>
      <c r="G23" s="57" t="n"/>
      <c r="H23" s="57" t="n"/>
    </row>
    <row r="24" ht="15" customHeight="1" s="32">
      <c r="A24" s="57" t="inlineStr">
        <is>
          <t>第10年终值（资产残值）</t>
        </is>
      </c>
      <c r="B24" s="57" t="n">
        <v>2500000</v>
      </c>
      <c r="C24" s="57" t="n"/>
      <c r="D24" s="57" t="n"/>
      <c r="E24" s="57" t="n"/>
      <c r="F24" s="57" t="n"/>
      <c r="G24" s="57" t="n"/>
      <c r="H24" s="57" t="n"/>
    </row>
    <row r="25" ht="15" customHeight="1" s="32">
      <c r="A25" s="57" t="inlineStr">
        <is>
          <t>债务金额</t>
        </is>
      </c>
      <c r="B25" s="57">
        <f>B8*B17</f>
        <v/>
      </c>
      <c r="C25" s="57" t="n"/>
      <c r="D25" s="57" t="n"/>
      <c r="E25" s="57" t="n"/>
      <c r="F25" s="57" t="n"/>
      <c r="G25" s="57" t="n"/>
      <c r="H25" s="57" t="n"/>
    </row>
    <row r="26" ht="15" customHeight="1" s="32">
      <c r="A26" s="57" t="inlineStr">
        <is>
          <t>股权投入</t>
        </is>
      </c>
      <c r="B26" s="57">
        <f>B8-B25</f>
        <v/>
      </c>
      <c r="C26" s="57" t="n"/>
      <c r="D26" s="57" t="n"/>
      <c r="E26" s="57" t="n"/>
      <c r="F26" s="57" t="n"/>
      <c r="G26" s="57" t="n"/>
      <c r="H26" s="57" t="n"/>
    </row>
    <row r="27" ht="15" customHeight="1" s="32">
      <c r="A27" s="57" t="inlineStr">
        <is>
          <t>年债务偿付额</t>
        </is>
      </c>
      <c r="B27" s="57">
        <f>-PMT(B18,B6,B25)</f>
        <v/>
      </c>
      <c r="C27" s="57" t="n"/>
      <c r="D27" s="57" t="n"/>
      <c r="E27" s="57" t="n"/>
      <c r="F27" s="57" t="n"/>
      <c r="G27" s="57" t="n"/>
      <c r="H27" s="57" t="n"/>
    </row>
    <row r="28" ht="15" customHeight="1" s="32">
      <c r="A28" s="57" t="inlineStr">
        <is>
          <t>累计债务偿付额</t>
        </is>
      </c>
      <c r="B28" s="57">
        <f>B27*B6</f>
        <v/>
      </c>
      <c r="C28" s="57" t="n"/>
      <c r="D28" s="57" t="n"/>
      <c r="E28" s="57" t="n"/>
      <c r="F28" s="57" t="n"/>
      <c r="G28" s="57" t="n"/>
      <c r="H28" s="57" t="n"/>
    </row>
    <row r="29" ht="15" customHeight="1" s="32">
      <c r="A29" s="57" t="inlineStr">
        <is>
          <t>甲方基线年总成本</t>
        </is>
      </c>
      <c r="B29" s="57">
        <f>B9+B10</f>
        <v/>
      </c>
      <c r="C29" s="57" t="n"/>
      <c r="D29" s="57" t="n"/>
      <c r="E29" s="57" t="n"/>
      <c r="F29" s="57" t="n"/>
      <c r="G29" s="57" t="n"/>
      <c r="H29" s="57" t="n"/>
    </row>
    <row r="30" ht="15" customHeight="1" s="32">
      <c r="A30" s="57" t="inlineStr">
        <is>
          <t>甲方基线10年总成本</t>
        </is>
      </c>
      <c r="B30" s="57">
        <f>B29*B6</f>
        <v/>
      </c>
      <c r="C30" s="57" t="n"/>
      <c r="D30" s="57" t="n"/>
      <c r="E30" s="57" t="n"/>
      <c r="F30" s="57" t="n"/>
      <c r="G30" s="57" t="n"/>
      <c r="H30" s="57" t="n"/>
    </row>
    <row r="32">
      <c r="A32" s="61" t="inlineStr">
        <is>
          <t>Mode_B（Question B）：业主支付不锁定，比较“甲方NPV(总支出)”谁最低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</row>
    <row r="33">
      <c r="A33" s="62" t="inlineStr">
        <is>
          <t>开关</t>
        </is>
      </c>
      <c r="B33" s="62" t="inlineStr">
        <is>
          <t>OwnerSpendMode</t>
        </is>
      </c>
      <c r="C33" s="62" t="inlineStr">
        <is>
          <t>Fixed / ModelBased</t>
        </is>
      </c>
      <c r="D33" s="62" t="inlineStr">
        <is>
          <t>说明</t>
        </is>
      </c>
      <c r="E33" s="54" t="inlineStr">
        <is>
          <t>选择 ModelBased 才会回答 Question B</t>
        </is>
      </c>
      <c r="F33" s="54" t="n"/>
      <c r="G33" s="54" t="n"/>
      <c r="H33" s="54" t="n"/>
      <c r="I33" s="54" t="n"/>
    </row>
    <row r="34">
      <c r="A34" s="63" t="inlineStr">
        <is>
          <t>OwnerSpendMode（Fixed / ModelBased）</t>
        </is>
      </c>
      <c r="B34" s="63" t="inlineStr">
        <is>
          <t>ModelBased</t>
        </is>
      </c>
      <c r="C34" s="63" t="n"/>
      <c r="D34" s="54" t="inlineStr">
        <is>
          <t>Fixed=沿用B16锁定；ModelBased=按各模式计费结构算业主支出</t>
        </is>
      </c>
      <c r="E34" s="54" t="n"/>
      <c r="F34" s="54" t="n"/>
      <c r="G34" s="54" t="n"/>
      <c r="H34" s="54" t="n"/>
      <c r="I34" s="54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</row>
    <row r="36">
      <c r="A36" s="62" t="inlineStr">
        <is>
          <t>折现率（甲方，年）</t>
        </is>
      </c>
      <c r="B36" s="64" t="n">
        <v>0.12</v>
      </c>
      <c r="C36" s="63" t="n"/>
      <c r="D36" s="54" t="inlineStr">
        <is>
          <t>用于 Owner_NPV_Comparison</t>
        </is>
      </c>
      <c r="E36" s="54" t="n"/>
      <c r="F36" s="54" t="n"/>
      <c r="G36" s="54" t="n"/>
      <c r="H36" s="54" t="n"/>
      <c r="I36" s="54" t="n"/>
    </row>
    <row r="37">
      <c r="A37" s="62" t="inlineStr">
        <is>
          <t>合约期（年）</t>
        </is>
      </c>
      <c r="B37" s="63">
        <f>B6</f>
        <v/>
      </c>
      <c r="C37" s="63" t="n"/>
      <c r="D37" s="63" t="n"/>
      <c r="E37" s="63" t="n"/>
      <c r="F37" s="63" t="n"/>
      <c r="G37" s="63" t="n"/>
      <c r="H37" s="63" t="n"/>
      <c r="I37" s="63" t="n"/>
    </row>
    <row r="38">
      <c r="A38" s="63" t="n"/>
      <c r="B38" s="63" t="n"/>
      <c r="C38" s="63" t="n"/>
      <c r="D38" s="63" t="n"/>
      <c r="E38" s="63" t="n"/>
      <c r="F38" s="63" t="n"/>
      <c r="G38" s="63" t="n"/>
      <c r="H38" s="63" t="n"/>
      <c r="I38" s="63" t="n"/>
    </row>
    <row r="39">
      <c r="A39" s="61" t="inlineStr">
        <is>
          <t>Mode_B 关键参数（让四模式在甲方侧自然拉开差异）</t>
        </is>
      </c>
      <c r="B39" s="54" t="n"/>
      <c r="C39" s="54" t="n"/>
      <c r="D39" s="54" t="n"/>
      <c r="E39" s="54" t="n"/>
      <c r="F39" s="54" t="n"/>
      <c r="G39" s="54" t="n"/>
      <c r="H39" s="54" t="n"/>
      <c r="I39" s="54" t="n"/>
    </row>
    <row r="40">
      <c r="A40" s="63" t="inlineStr">
        <is>
          <t>EMC：甲方保留节省比例（OwnerRetainShare）</t>
        </is>
      </c>
      <c r="B40" s="64" t="n">
        <v>0.5</v>
      </c>
      <c r="C40" s="63" t="n"/>
      <c r="D40" s="54" t="inlineStr">
        <is>
          <t>例：50%表示节省的一半归甲方；另一半用于支付服务方</t>
        </is>
      </c>
      <c r="E40" s="54" t="n"/>
      <c r="F40" s="54" t="n"/>
      <c r="G40" s="54" t="n"/>
      <c r="H40" s="54" t="n"/>
      <c r="I40" s="54" t="n"/>
    </row>
    <row r="41">
      <c r="A41" s="63" t="inlineStr">
        <is>
          <t>EMC：固定服务费（年，可选）</t>
        </is>
      </c>
      <c r="B41" s="63" t="n">
        <v>0</v>
      </c>
      <c r="C41" s="63" t="n"/>
      <c r="D41" s="63" t="n"/>
      <c r="E41" s="63" t="n"/>
      <c r="F41" s="63" t="n"/>
      <c r="G41" s="63" t="n"/>
      <c r="H41" s="63" t="n"/>
      <c r="I41" s="63" t="n"/>
    </row>
    <row r="42">
      <c r="A42" s="63" t="inlineStr">
        <is>
          <t>托管：托管费（年，覆盖电费+运维）</t>
        </is>
      </c>
      <c r="B42" s="63">
        <f>B16</f>
        <v/>
      </c>
      <c r="C42" s="63" t="n"/>
      <c r="D42" s="54" t="inlineStr">
        <is>
          <t>默认等于B16；你可改为报价/指数化费用</t>
        </is>
      </c>
      <c r="E42" s="54" t="n"/>
      <c r="F42" s="54" t="n"/>
      <c r="G42" s="54" t="n"/>
      <c r="H42" s="54" t="n"/>
      <c r="I42" s="54" t="n"/>
    </row>
    <row r="43">
      <c r="A43" s="63" t="inlineStr">
        <is>
          <t>LaaS：订阅费（年）</t>
        </is>
      </c>
      <c r="B43" s="63">
        <f>B16</f>
        <v/>
      </c>
      <c r="C43" s="63" t="n"/>
      <c r="D43" s="63" t="n"/>
      <c r="E43" s="63" t="n"/>
      <c r="F43" s="63" t="n"/>
      <c r="G43" s="63" t="n"/>
      <c r="H43" s="63" t="n"/>
      <c r="I43" s="63" t="n"/>
    </row>
    <row r="44">
      <c r="A44" s="63" t="inlineStr">
        <is>
          <t>LaaS：SLA罚则（年，默认0）</t>
        </is>
      </c>
      <c r="B44" s="63" t="n">
        <v>0</v>
      </c>
      <c r="C44" s="63" t="n"/>
      <c r="D44" s="63" t="n"/>
      <c r="E44" s="63" t="n"/>
      <c r="F44" s="63" t="n"/>
      <c r="G44" s="63" t="n"/>
      <c r="H44" s="63" t="n"/>
      <c r="I44" s="63" t="n"/>
    </row>
    <row r="45">
      <c r="A45" s="63" t="inlineStr">
        <is>
          <t>租赁：隐含利率（年，用于算租金PMT）</t>
        </is>
      </c>
      <c r="B45" s="63">
        <f>B18</f>
        <v/>
      </c>
      <c r="C45" s="63" t="n"/>
      <c r="D45" s="63" t="n"/>
      <c r="E45" s="63" t="n"/>
      <c r="F45" s="63" t="n"/>
      <c r="G45" s="63" t="n"/>
      <c r="H45" s="63" t="n"/>
      <c r="I45" s="63" t="n"/>
    </row>
    <row r="46">
      <c r="A46" s="63" t="inlineStr">
        <is>
          <t>租赁：租金（年，=PMT(隐含利率, 年, CAPEX)）</t>
        </is>
      </c>
      <c r="B46" s="63">
        <f>-PMT($B$45,$B$6,$B$8)</f>
        <v/>
      </c>
      <c r="C46" s="63" t="n"/>
      <c r="D46" s="54" t="inlineStr">
        <is>
          <t>默认按CAPEX与利率/期限生成；租赁下电费与运维通常仍由甲方承担</t>
        </is>
      </c>
      <c r="E46" s="54" t="n"/>
      <c r="F46" s="54" t="n"/>
      <c r="G46" s="54" t="n"/>
      <c r="H46" s="54" t="n"/>
      <c r="I46" s="54" t="n"/>
    </row>
    <row r="47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</row>
  </sheetData>
  <mergeCells count="10">
    <mergeCell ref="D34:I34"/>
    <mergeCell ref="A3:H3"/>
    <mergeCell ref="D42:I42"/>
    <mergeCell ref="D46:I46"/>
    <mergeCell ref="A32:I32"/>
    <mergeCell ref="D40:I40"/>
    <mergeCell ref="E33:I33"/>
    <mergeCell ref="D36:I36"/>
    <mergeCell ref="A39:I39"/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</cols>
  <sheetData>
    <row r="1" ht="19.53125" customHeight="1" s="32">
      <c r="A1" s="9" t="inlineStr">
        <is>
          <t>统一融资假设下的贷款摊还表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口径：四种模式统一采用相同的CAPEX、债务比例与利率；由于本次只固定业主支付额，因此融资侧结果保持一致。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6" t="inlineStr">
        <is>
          <t>年份</t>
        </is>
      </c>
      <c r="B5" s="56" t="inlineStr">
        <is>
          <t>期初余额</t>
        </is>
      </c>
      <c r="C5" s="56" t="inlineStr">
        <is>
          <t>年偿付额</t>
        </is>
      </c>
      <c r="D5" s="56" t="inlineStr">
        <is>
          <t>利息</t>
        </is>
      </c>
      <c r="E5" s="56" t="inlineStr">
        <is>
          <t>本金</t>
        </is>
      </c>
      <c r="F5" s="56" t="inlineStr">
        <is>
          <t>期末余额</t>
        </is>
      </c>
      <c r="G5" s="56" t="inlineStr">
        <is>
          <t>资金成本</t>
        </is>
      </c>
      <c r="H5" s="56" t="inlineStr">
        <is>
          <t>净息差</t>
        </is>
      </c>
    </row>
    <row r="6" ht="15" customHeight="1" s="32">
      <c r="A6" s="65" t="n">
        <v>1</v>
      </c>
      <c r="B6" s="57">
        <f>'假设'!$B$25</f>
        <v/>
      </c>
      <c r="C6" s="57">
        <f>'假设'!$B$27</f>
        <v/>
      </c>
      <c r="D6" s="57">
        <f>B6*'假设'!$B$18</f>
        <v/>
      </c>
      <c r="E6" s="57">
        <f>C6-D6</f>
        <v/>
      </c>
      <c r="F6" s="57">
        <f>MAX(B6-E6,0)</f>
        <v/>
      </c>
      <c r="G6" s="57">
        <f>B6*'假设'!$B$19</f>
        <v/>
      </c>
      <c r="H6" s="57">
        <f>D6-G6</f>
        <v/>
      </c>
    </row>
    <row r="7" ht="15" customHeight="1" s="32">
      <c r="A7" s="65" t="n">
        <v>2</v>
      </c>
      <c r="B7" s="57">
        <f>F6</f>
        <v/>
      </c>
      <c r="C7" s="57">
        <f>'假设'!$B$27</f>
        <v/>
      </c>
      <c r="D7" s="57">
        <f>B7*'假设'!$B$18</f>
        <v/>
      </c>
      <c r="E7" s="57">
        <f>C7-D7</f>
        <v/>
      </c>
      <c r="F7" s="57">
        <f>MAX(B7-E7,0)</f>
        <v/>
      </c>
      <c r="G7" s="57">
        <f>B7*'假设'!$B$19</f>
        <v/>
      </c>
      <c r="H7" s="57">
        <f>D7-G7</f>
        <v/>
      </c>
    </row>
    <row r="8" ht="15" customHeight="1" s="32">
      <c r="A8" s="65" t="n">
        <v>3</v>
      </c>
      <c r="B8" s="57">
        <f>F7</f>
        <v/>
      </c>
      <c r="C8" s="57">
        <f>'假设'!$B$27</f>
        <v/>
      </c>
      <c r="D8" s="57">
        <f>B8*'假设'!$B$18</f>
        <v/>
      </c>
      <c r="E8" s="57">
        <f>C8-D8</f>
        <v/>
      </c>
      <c r="F8" s="57">
        <f>MAX(B8-E8,0)</f>
        <v/>
      </c>
      <c r="G8" s="57">
        <f>B8*'假设'!$B$19</f>
        <v/>
      </c>
      <c r="H8" s="57">
        <f>D8-G8</f>
        <v/>
      </c>
    </row>
    <row r="9" ht="15" customHeight="1" s="32">
      <c r="A9" s="65" t="n">
        <v>4</v>
      </c>
      <c r="B9" s="57">
        <f>F8</f>
        <v/>
      </c>
      <c r="C9" s="57">
        <f>'假设'!$B$27</f>
        <v/>
      </c>
      <c r="D9" s="57">
        <f>B9*'假设'!$B$18</f>
        <v/>
      </c>
      <c r="E9" s="57">
        <f>C9-D9</f>
        <v/>
      </c>
      <c r="F9" s="57">
        <f>MAX(B9-E9,0)</f>
        <v/>
      </c>
      <c r="G9" s="57">
        <f>B9*'假设'!$B$19</f>
        <v/>
      </c>
      <c r="H9" s="57">
        <f>D9-G9</f>
        <v/>
      </c>
    </row>
    <row r="10" ht="15" customHeight="1" s="32">
      <c r="A10" s="65" t="n">
        <v>5</v>
      </c>
      <c r="B10" s="57">
        <f>F9</f>
        <v/>
      </c>
      <c r="C10" s="57">
        <f>'假设'!$B$27</f>
        <v/>
      </c>
      <c r="D10" s="57">
        <f>B10*'假设'!$B$18</f>
        <v/>
      </c>
      <c r="E10" s="57">
        <f>C10-D10</f>
        <v/>
      </c>
      <c r="F10" s="57">
        <f>MAX(B10-E10,0)</f>
        <v/>
      </c>
      <c r="G10" s="57">
        <f>B10*'假设'!$B$19</f>
        <v/>
      </c>
      <c r="H10" s="57">
        <f>D10-G10</f>
        <v/>
      </c>
    </row>
    <row r="11" ht="15" customHeight="1" s="32">
      <c r="A11" s="65" t="n">
        <v>6</v>
      </c>
      <c r="B11" s="57">
        <f>F10</f>
        <v/>
      </c>
      <c r="C11" s="57">
        <f>'假设'!$B$27</f>
        <v/>
      </c>
      <c r="D11" s="57">
        <f>B11*'假设'!$B$18</f>
        <v/>
      </c>
      <c r="E11" s="57">
        <f>C11-D11</f>
        <v/>
      </c>
      <c r="F11" s="57">
        <f>MAX(B11-E11,0)</f>
        <v/>
      </c>
      <c r="G11" s="57">
        <f>B11*'假设'!$B$19</f>
        <v/>
      </c>
      <c r="H11" s="57">
        <f>D11-G11</f>
        <v/>
      </c>
    </row>
    <row r="12" ht="15" customHeight="1" s="32">
      <c r="A12" s="65" t="n">
        <v>7</v>
      </c>
      <c r="B12" s="57">
        <f>F11</f>
        <v/>
      </c>
      <c r="C12" s="57">
        <f>'假设'!$B$27</f>
        <v/>
      </c>
      <c r="D12" s="57">
        <f>B12*'假设'!$B$18</f>
        <v/>
      </c>
      <c r="E12" s="57">
        <f>C12-D12</f>
        <v/>
      </c>
      <c r="F12" s="57">
        <f>MAX(B12-E12,0)</f>
        <v/>
      </c>
      <c r="G12" s="57">
        <f>B12*'假设'!$B$19</f>
        <v/>
      </c>
      <c r="H12" s="57">
        <f>D12-G12</f>
        <v/>
      </c>
    </row>
    <row r="13" ht="15" customHeight="1" s="32">
      <c r="A13" s="65" t="n">
        <v>8</v>
      </c>
      <c r="B13" s="57">
        <f>F12</f>
        <v/>
      </c>
      <c r="C13" s="57">
        <f>'假设'!$B$27</f>
        <v/>
      </c>
      <c r="D13" s="57">
        <f>B13*'假设'!$B$18</f>
        <v/>
      </c>
      <c r="E13" s="57">
        <f>C13-D13</f>
        <v/>
      </c>
      <c r="F13" s="57">
        <f>MAX(B13-E13,0)</f>
        <v/>
      </c>
      <c r="G13" s="57">
        <f>B13*'假设'!$B$19</f>
        <v/>
      </c>
      <c r="H13" s="57">
        <f>D13-G13</f>
        <v/>
      </c>
    </row>
    <row r="14" ht="15" customHeight="1" s="32">
      <c r="A14" s="65" t="n">
        <v>9</v>
      </c>
      <c r="B14" s="57">
        <f>F13</f>
        <v/>
      </c>
      <c r="C14" s="57">
        <f>'假设'!$B$27</f>
        <v/>
      </c>
      <c r="D14" s="57">
        <f>B14*'假设'!$B$18</f>
        <v/>
      </c>
      <c r="E14" s="57">
        <f>C14-D14</f>
        <v/>
      </c>
      <c r="F14" s="57">
        <f>MAX(B14-E14,0)</f>
        <v/>
      </c>
      <c r="G14" s="57">
        <f>B14*'假设'!$B$19</f>
        <v/>
      </c>
      <c r="H14" s="57">
        <f>D14-G14</f>
        <v/>
      </c>
    </row>
    <row r="15" ht="15" customHeight="1" s="32">
      <c r="A15" s="65" t="n">
        <v>10</v>
      </c>
      <c r="B15" s="57">
        <f>F14</f>
        <v/>
      </c>
      <c r="C15" s="57">
        <f>'假设'!$B$27</f>
        <v/>
      </c>
      <c r="D15" s="57">
        <f>B15*'假设'!$B$18</f>
        <v/>
      </c>
      <c r="E15" s="57">
        <f>C15-D15</f>
        <v/>
      </c>
      <c r="F15" s="57">
        <f>MAX(B15-E15,0)</f>
        <v/>
      </c>
      <c r="G15" s="57">
        <f>B15*'假设'!$B$19</f>
        <v/>
      </c>
      <c r="H15" s="57">
        <f>D15-G15</f>
        <v/>
      </c>
    </row>
    <row r="16" ht="15" customHeight="1" s="32">
      <c r="A16" s="56" t="inlineStr">
        <is>
          <t>合计</t>
        </is>
      </c>
      <c r="B16" s="56" t="str"/>
      <c r="C16" s="56">
        <f>SUM(C6:C15)</f>
        <v/>
      </c>
      <c r="D16" s="56">
        <f>SUM(D6:D15)</f>
        <v/>
      </c>
      <c r="E16" s="56">
        <f>SUM(E6:E15)</f>
        <v/>
      </c>
      <c r="F16" s="56" t="str"/>
      <c r="G16" s="56">
        <f>SUM(G6:G15)</f>
        <v/>
      </c>
      <c r="H16" s="56">
        <f>SUM(H6:H15)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style="32" min="1" max="1"/>
    <col width="18" customWidth="1" style="32" min="2" max="2"/>
    <col width="18" customWidth="1" style="32" min="3" max="3"/>
    <col width="18" customWidth="1" style="32" min="4" max="4"/>
    <col width="18" customWidth="1" style="32" min="5" max="5"/>
    <col width="18" customWidth="1" style="32" min="6" max="6"/>
    <col width="91.86000061035156" customWidth="1" style="32" min="7" max="7"/>
    <col width="16" customWidth="1" style="32" min="8" max="8"/>
    <col width="16" customWidth="1" style="32" min="9" max="9"/>
    <col width="16" customWidth="1" style="32" min="10" max="10"/>
    <col width="16" customWidth="1" style="32" min="11" max="11"/>
    <col width="16" customWidth="1" style="32" min="12" max="12"/>
  </cols>
  <sheetData>
    <row r="1" ht="19.53125" customHeight="1" s="32">
      <c r="A1" s="9" t="inlineStr">
        <is>
          <t>四种模式最终各方收益对比（业主年投入恒定）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核心看法：在“业主年总投入固定”为同一个数字时，甲方差异主要体现在终值归属，真正被拉开的是核心服务方的收益分配。默认固定值见“假设”表B16。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6" t="inlineStr">
        <is>
          <t>参与方</t>
        </is>
      </c>
      <c r="B5" s="56" t="inlineStr">
        <is>
          <t>EMC</t>
        </is>
      </c>
      <c r="C5" s="56" t="inlineStr">
        <is>
          <t>能源托管</t>
        </is>
      </c>
      <c r="D5" s="56" t="inlineStr">
        <is>
          <t>LaaS</t>
        </is>
      </c>
      <c r="E5" s="56" t="inlineStr">
        <is>
          <t>租赁</t>
        </is>
      </c>
      <c r="F5" s="56" t="inlineStr">
        <is>
          <t>口径说明</t>
        </is>
      </c>
      <c r="G5" s="57" t="n"/>
      <c r="H5" s="56" t="inlineStr">
        <is>
          <t>指标</t>
        </is>
      </c>
      <c r="I5" s="56" t="inlineStr">
        <is>
          <t>EMC</t>
        </is>
      </c>
      <c r="J5" s="56" t="inlineStr">
        <is>
          <t>能源托管</t>
        </is>
      </c>
      <c r="K5" s="56" t="inlineStr">
        <is>
          <t>LaaS</t>
        </is>
      </c>
      <c r="L5" s="56" t="inlineStr">
        <is>
          <t>租赁</t>
        </is>
      </c>
    </row>
    <row r="6" ht="15" customHeight="1" s="32">
      <c r="A6" s="57" t="inlineStr">
        <is>
          <t>甲方净收益</t>
        </is>
      </c>
      <c r="B6" s="66">
        <f>'EMC模式'!$B$7</f>
        <v/>
      </c>
      <c r="C6" s="66">
        <f>'能源托管模式'!$B$7</f>
        <v/>
      </c>
      <c r="D6" s="66">
        <f>'LaaS模式'!$B$7</f>
        <v/>
      </c>
      <c r="E6" s="66">
        <f>'租赁模式'!$B$7</f>
        <v/>
      </c>
      <c r="F6" s="59" t="inlineStr">
        <is>
          <t>10年相对基线的节约额 + 若终值归甲方则加上终值</t>
        </is>
      </c>
      <c r="G6" s="57" t="n"/>
      <c r="H6" s="57" t="inlineStr">
        <is>
          <t>甲方净收益</t>
        </is>
      </c>
      <c r="I6" s="66">
        <f>B6</f>
        <v/>
      </c>
      <c r="J6" s="66">
        <f>C6</f>
        <v/>
      </c>
      <c r="K6" s="66">
        <f>D6</f>
        <v/>
      </c>
      <c r="L6" s="66">
        <f>E6</f>
        <v/>
      </c>
    </row>
    <row r="7" ht="15" customHeight="1" s="32">
      <c r="A7" s="57" t="inlineStr">
        <is>
          <t>核心服务方净现金</t>
        </is>
      </c>
      <c r="B7" s="66">
        <f>'EMC模式'!$B$8</f>
        <v/>
      </c>
      <c r="C7" s="66">
        <f>'能源托管模式'!$B$8</f>
        <v/>
      </c>
      <c r="D7" s="66">
        <f>'LaaS模式'!$B$8</f>
        <v/>
      </c>
      <c r="E7" s="66">
        <f>'租赁模式'!$B$8</f>
        <v/>
      </c>
      <c r="F7" s="59" t="inlineStr">
        <is>
          <t>收入 + 残值归服务方 – 直接运营成本 – 累计债务偿付 – 初始股权投入</t>
        </is>
      </c>
      <c r="G7" s="57" t="n"/>
      <c r="H7" s="57" t="inlineStr">
        <is>
          <t>核心服务方净现金</t>
        </is>
      </c>
      <c r="I7" s="66">
        <f>B7</f>
        <v/>
      </c>
      <c r="J7" s="66">
        <f>C7</f>
        <v/>
      </c>
      <c r="K7" s="66">
        <f>D7</f>
        <v/>
      </c>
      <c r="L7" s="66">
        <f>E7</f>
        <v/>
      </c>
    </row>
    <row r="8" ht="15" customHeight="1" s="32">
      <c r="A8" s="57" t="inlineStr">
        <is>
          <t>设备商利润</t>
        </is>
      </c>
      <c r="B8" s="66">
        <f>'EMC模式'!$B$11</f>
        <v/>
      </c>
      <c r="C8" s="66">
        <f>'能源托管模式'!$B$11</f>
        <v/>
      </c>
      <c r="D8" s="66">
        <f>'LaaS模式'!$B$11</f>
        <v/>
      </c>
      <c r="E8" s="66">
        <f>'租赁模式'!$B$11</f>
        <v/>
      </c>
      <c r="F8" s="59" t="inlineStr">
        <is>
          <t>固定同一CAPEX拆分，用于隔离模式差异</t>
        </is>
      </c>
      <c r="G8" s="57" t="n"/>
      <c r="H8" s="57" t="inlineStr">
        <is>
          <t>资金方净息差</t>
        </is>
      </c>
      <c r="I8" s="66">
        <f>B10</f>
        <v/>
      </c>
      <c r="J8" s="66">
        <f>C10</f>
        <v/>
      </c>
      <c r="K8" s="66">
        <f>D10</f>
        <v/>
      </c>
      <c r="L8" s="66">
        <f>E10</f>
        <v/>
      </c>
    </row>
    <row r="9" ht="15" customHeight="1" s="32">
      <c r="A9" s="57" t="inlineStr">
        <is>
          <t>EPC利润</t>
        </is>
      </c>
      <c r="B9" s="66">
        <f>'EMC模式'!$B$12</f>
        <v/>
      </c>
      <c r="C9" s="66">
        <f>'能源托管模式'!$B$12</f>
        <v/>
      </c>
      <c r="D9" s="66">
        <f>'LaaS模式'!$B$12</f>
        <v/>
      </c>
      <c r="E9" s="66">
        <f>'租赁模式'!$B$12</f>
        <v/>
      </c>
      <c r="F9" s="59" t="inlineStr">
        <is>
          <t>固定同一CAPEX拆分，用于隔离模式差异</t>
        </is>
      </c>
      <c r="G9" s="57" t="n"/>
      <c r="H9" s="57" t="n"/>
      <c r="I9" s="57" t="n"/>
      <c r="J9" s="57" t="n"/>
      <c r="K9" s="57" t="n"/>
      <c r="L9" s="57" t="n"/>
    </row>
    <row r="10" ht="15" customHeight="1" s="32">
      <c r="A10" s="57" t="inlineStr">
        <is>
          <t>资金方净息差</t>
        </is>
      </c>
      <c r="B10" s="66">
        <f>'EMC模式'!$B$14</f>
        <v/>
      </c>
      <c r="C10" s="66">
        <f>'能源托管模式'!$B$14</f>
        <v/>
      </c>
      <c r="D10" s="66">
        <f>'LaaS模式'!$B$14</f>
        <v/>
      </c>
      <c r="E10" s="66">
        <f>'租赁模式'!$B$14</f>
        <v/>
      </c>
      <c r="F10" s="59" t="inlineStr">
        <is>
          <t>统一债务条件下的净利差收益</t>
        </is>
      </c>
      <c r="G10" s="57" t="n"/>
      <c r="H10" s="57" t="n"/>
      <c r="I10" s="57" t="n"/>
      <c r="J10" s="57" t="n"/>
      <c r="K10" s="57" t="n"/>
      <c r="L10" s="57" t="n"/>
    </row>
    <row r="11">
      <c r="A11" s="57" t="n"/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</row>
    <row r="12">
      <c r="A12" s="57" t="n"/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</row>
    <row r="13" ht="15" customHeight="1" s="32">
      <c r="A13" s="56" t="inlineStr">
        <is>
          <t>快速结论</t>
        </is>
      </c>
      <c r="B13" s="56" t="inlineStr">
        <is>
          <t>最佳模式</t>
        </is>
      </c>
      <c r="C13" s="56" t="inlineStr">
        <is>
          <t>指标</t>
        </is>
      </c>
      <c r="D13" s="56" t="inlineStr">
        <is>
          <t>数值</t>
        </is>
      </c>
      <c r="E13" s="57" t="n"/>
      <c r="F13" s="57" t="n"/>
      <c r="G13" s="57" t="n"/>
      <c r="H13" s="57" t="n"/>
      <c r="I13" s="57" t="n"/>
      <c r="J13" s="57" t="n"/>
      <c r="K13" s="57" t="n"/>
      <c r="L13" s="57" t="n"/>
    </row>
    <row r="14" ht="15" customHeight="1" s="32">
      <c r="A14" s="57" t="inlineStr">
        <is>
          <t>甲方</t>
        </is>
      </c>
      <c r="B14" s="57">
        <f>INDEX(B$5:E$5,1, MATCH(MAX(B6:E6), B6:E6, 0))</f>
        <v/>
      </c>
      <c r="C14" s="57" t="inlineStr">
        <is>
          <t>甲方净收益最高</t>
        </is>
      </c>
      <c r="D14" s="57">
        <f>MAX(B6:E6)</f>
        <v/>
      </c>
      <c r="E14" s="57" t="n"/>
      <c r="F14" s="57" t="n"/>
      <c r="G14" s="57" t="n"/>
      <c r="H14" s="57" t="n"/>
      <c r="I14" s="57" t="n"/>
      <c r="J14" s="57" t="n"/>
      <c r="K14" s="57" t="n"/>
      <c r="L14" s="57" t="n"/>
    </row>
    <row r="15" ht="15" customHeight="1" s="32">
      <c r="A15" s="57" t="inlineStr">
        <is>
          <t>核心服务方</t>
        </is>
      </c>
      <c r="B15" s="57">
        <f>INDEX(B$5:E$5,1, MATCH(MAX(B7:E7), B7:E7, 0))</f>
        <v/>
      </c>
      <c r="C15" s="57" t="inlineStr">
        <is>
          <t>核心服务方净现金最高</t>
        </is>
      </c>
      <c r="D15" s="57">
        <f>MAX(B7:E7)</f>
        <v/>
      </c>
      <c r="E15" s="57" t="n"/>
      <c r="F15" s="57" t="n"/>
      <c r="G15" s="57" t="n"/>
      <c r="H15" s="57" t="n"/>
      <c r="I15" s="57" t="n"/>
      <c r="J15" s="57" t="n"/>
      <c r="K15" s="57" t="n"/>
      <c r="L15" s="57" t="n"/>
    </row>
    <row r="16" ht="15" customHeight="1" s="32">
      <c r="A16" s="57" t="inlineStr">
        <is>
          <t>提醒</t>
        </is>
      </c>
      <c r="B16" s="57" t="inlineStr">
        <is>
          <t>LaaS若要成立</t>
        </is>
      </c>
      <c r="C16" s="57" t="inlineStr">
        <is>
          <t>需确保残值归服务方，或提高订阅费</t>
        </is>
      </c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</row>
    <row r="18">
      <c r="A18" s="51" t="inlineStr">
        <is>
          <t>新增阅读指引</t>
        </is>
      </c>
      <c r="B18" s="51" t="inlineStr">
        <is>
          <t>先看“逐年利润对比”了解每年谁更赚，再看“年度差异来源”定位差额到底来自服务费、电费/运维承担还是残值归属。</t>
        </is>
      </c>
      <c r="C18" s="51" t="n"/>
      <c r="D18" s="51" t="n"/>
      <c r="E18" s="51" t="n"/>
      <c r="F18" s="51" t="n"/>
    </row>
  </sheetData>
  <mergeCells count="2">
    <mergeCell ref="A1:H2"/>
    <mergeCell ref="A3:H3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EMC：业主年投入恒定下的参与方收益拆解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说明：业主每年总投入固定为同一金额；EMC下甲方仍自付电费与运维，剩余部分支付给ESCO。第10年终值归甲方。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6" t="inlineStr">
        <is>
          <t>指标</t>
        </is>
      </c>
      <c r="B5" s="56" t="inlineStr">
        <is>
          <t>数值</t>
        </is>
      </c>
      <c r="C5" s="57" t="n"/>
      <c r="D5" s="56" t="inlineStr">
        <is>
          <t>年份</t>
        </is>
      </c>
      <c r="E5" s="56" t="inlineStr">
        <is>
          <t>基线成本</t>
        </is>
      </c>
      <c r="F5" s="56" t="inlineStr">
        <is>
          <t>甲方实际流出</t>
        </is>
      </c>
      <c r="G5" s="56" t="inlineStr">
        <is>
          <t>归甲方终值</t>
        </is>
      </c>
      <c r="H5" s="56" t="inlineStr">
        <is>
          <t>甲方增量收益</t>
        </is>
      </c>
      <c r="I5" s="57" t="n"/>
      <c r="J5" s="56" t="inlineStr">
        <is>
          <t>年份</t>
        </is>
      </c>
      <c r="K5" s="56" t="inlineStr">
        <is>
          <t>收入</t>
        </is>
      </c>
      <c r="L5" s="56" t="inlineStr">
        <is>
          <t>直接运营成本</t>
        </is>
      </c>
      <c r="M5" s="56" t="inlineStr">
        <is>
          <t>债务偿付</t>
        </is>
      </c>
      <c r="N5" s="56" t="inlineStr">
        <is>
          <t>残值归服务方</t>
        </is>
      </c>
      <c r="O5" s="56" t="inlineStr">
        <is>
          <t>股权现金流</t>
        </is>
      </c>
      <c r="Q5" s="20" t="n"/>
      <c r="R5" s="20" t="n"/>
      <c r="S5" s="20" t="n"/>
    </row>
    <row r="6" ht="15" customHeight="1" s="32">
      <c r="A6" s="57" t="inlineStr">
        <is>
          <t>业主年总投入（恒定）</t>
        </is>
      </c>
      <c r="B6" s="57">
        <f>'假设'!$B$16</f>
        <v/>
      </c>
      <c r="C6" s="57" t="n"/>
      <c r="D6" s="65" t="n">
        <v>1</v>
      </c>
      <c r="E6" s="57">
        <f>'假设'!$B$29</f>
        <v/>
      </c>
      <c r="F6" s="57">
        <f>IF(假设!B34="Fixed",'假设'!$B$16,(('假设'!$B$11+'假设'!$B$12)+假设!B41+假设!B40*(('假设'!$B$9+'假设'!$B$10)-('假设'!$B$11+'假设'!$B$12))))</f>
        <v/>
      </c>
      <c r="G6" s="57">
        <f>0</f>
        <v/>
      </c>
      <c r="H6" s="57">
        <f>E6-F6+G6</f>
        <v/>
      </c>
      <c r="I6" s="57" t="n"/>
      <c r="J6" s="65" t="n">
        <v>0</v>
      </c>
      <c r="K6" s="57">
        <f>0</f>
        <v/>
      </c>
      <c r="L6" s="57">
        <f>0</f>
        <v/>
      </c>
      <c r="M6" s="57">
        <f>0</f>
        <v/>
      </c>
      <c r="N6" s="57">
        <f>0</f>
        <v/>
      </c>
      <c r="O6" s="57">
        <f>-'假设'!$B$26</f>
        <v/>
      </c>
      <c r="R6" s="58" t="n"/>
      <c r="S6" s="22" t="n"/>
    </row>
    <row r="7" ht="15" customHeight="1" s="32">
      <c r="A7" s="57" t="inlineStr">
        <is>
          <t>甲方10年净收益</t>
        </is>
      </c>
      <c r="B7" s="57">
        <f>'假设'!$B$30-B6*'假设'!$B$6+='假设'!$B$24</f>
        <v/>
      </c>
      <c r="C7" s="57" t="n"/>
      <c r="D7" s="65" t="n">
        <v>2</v>
      </c>
      <c r="E7" s="57">
        <f>'假设'!$B$29</f>
        <v/>
      </c>
      <c r="F7" s="57">
        <f>IF(假设!B34="Fixed",'假设'!$B$16,(('假设'!$B$11+'假设'!$B$12)+假设!B41+假设!B40*(('假设'!$B$9+'假设'!$B$10)-('假设'!$B$11+'假设'!$B$12))))</f>
        <v/>
      </c>
      <c r="G7" s="57">
        <f>0</f>
        <v/>
      </c>
      <c r="H7" s="57">
        <f>E7-F7+G7</f>
        <v/>
      </c>
      <c r="I7" s="57" t="n"/>
      <c r="J7" s="65" t="n">
        <v>1</v>
      </c>
      <c r="K7" s="57">
        <f>'假设'!$H$6</f>
        <v/>
      </c>
      <c r="L7" s="57">
        <f>'假设'!$B$14</f>
        <v/>
      </c>
      <c r="M7" s="57">
        <f>'假设'!$B$27</f>
        <v/>
      </c>
      <c r="N7" s="57">
        <f>0</f>
        <v/>
      </c>
      <c r="O7" s="57">
        <f>K7-L7-M7+N7</f>
        <v/>
      </c>
      <c r="R7" s="58" t="n"/>
      <c r="S7" s="22" t="n"/>
    </row>
    <row r="8" ht="15" customHeight="1" s="32">
      <c r="A8" s="57" t="inlineStr">
        <is>
          <t>核心服务方10年净现金</t>
        </is>
      </c>
      <c r="B8" s="57">
        <f>SUM(O6:O16)</f>
        <v/>
      </c>
      <c r="C8" s="57" t="n"/>
      <c r="D8" s="65" t="n">
        <v>3</v>
      </c>
      <c r="E8" s="57">
        <f>'假设'!$B$29</f>
        <v/>
      </c>
      <c r="F8" s="57">
        <f>IF(假设!B34="Fixed",'假设'!$B$16,(('假设'!$B$11+'假设'!$B$12)+假设!B41+假设!B40*(('假设'!$B$9+'假设'!$B$10)-('假设'!$B$11+'假设'!$B$12))))</f>
        <v/>
      </c>
      <c r="G8" s="57">
        <f>0</f>
        <v/>
      </c>
      <c r="H8" s="57">
        <f>E8-F8+G8</f>
        <v/>
      </c>
      <c r="I8" s="57" t="n"/>
      <c r="J8" s="65" t="n">
        <v>2</v>
      </c>
      <c r="K8" s="57">
        <f>'假设'!$H$6</f>
        <v/>
      </c>
      <c r="L8" s="57">
        <f>'假设'!$B$14</f>
        <v/>
      </c>
      <c r="M8" s="57">
        <f>'假设'!$B$27</f>
        <v/>
      </c>
      <c r="N8" s="57">
        <f>0</f>
        <v/>
      </c>
      <c r="O8" s="57">
        <f>K8-L8-M8+N8</f>
        <v/>
      </c>
      <c r="R8" s="58" t="n"/>
      <c r="S8" s="22" t="n"/>
    </row>
    <row r="9" ht="15" customHeight="1" s="32">
      <c r="A9" s="57" t="inlineStr">
        <is>
          <t>核心服务方10年收入</t>
        </is>
      </c>
      <c r="B9" s="57">
        <f>SUM(K6:K16)+SUM(N6:N16)</f>
        <v/>
      </c>
      <c r="C9" s="57" t="n"/>
      <c r="D9" s="65" t="n">
        <v>4</v>
      </c>
      <c r="E9" s="57">
        <f>'假设'!$B$29</f>
        <v/>
      </c>
      <c r="F9" s="57">
        <f>IF(假设!B34="Fixed",'假设'!$B$16,(('假设'!$B$11+'假设'!$B$12)+假设!B41+假设!B40*(('假设'!$B$9+'假设'!$B$10)-('假设'!$B$11+'假设'!$B$12))))</f>
        <v/>
      </c>
      <c r="G9" s="57">
        <f>0</f>
        <v/>
      </c>
      <c r="H9" s="57">
        <f>E9-F9+G9</f>
        <v/>
      </c>
      <c r="I9" s="57" t="n"/>
      <c r="J9" s="65" t="n">
        <v>3</v>
      </c>
      <c r="K9" s="57">
        <f>'假设'!$H$6</f>
        <v/>
      </c>
      <c r="L9" s="57">
        <f>'假设'!$B$14</f>
        <v/>
      </c>
      <c r="M9" s="57">
        <f>'假设'!$B$27</f>
        <v/>
      </c>
      <c r="N9" s="57">
        <f>0</f>
        <v/>
      </c>
      <c r="O9" s="57">
        <f>K9-L9-M9+N9</f>
        <v/>
      </c>
      <c r="R9" s="58" t="n"/>
      <c r="S9" s="22" t="n"/>
    </row>
    <row r="10" ht="15" customHeight="1" s="32">
      <c r="A10" s="57" t="inlineStr">
        <is>
          <t>核心服务方10年直接运营成本</t>
        </is>
      </c>
      <c r="B10" s="57">
        <f>SUM(L6:L16)</f>
        <v/>
      </c>
      <c r="C10" s="57" t="n"/>
      <c r="D10" s="65" t="n">
        <v>5</v>
      </c>
      <c r="E10" s="57">
        <f>'假设'!$B$29</f>
        <v/>
      </c>
      <c r="F10" s="57">
        <f>IF(假设!B34="Fixed",'假设'!$B$16,(('假设'!$B$11+'假设'!$B$12)+假设!B41+假设!B40*(('假设'!$B$9+'假设'!$B$10)-('假设'!$B$11+'假设'!$B$12))))</f>
        <v/>
      </c>
      <c r="G10" s="57">
        <f>0</f>
        <v/>
      </c>
      <c r="H10" s="57">
        <f>E10-F10+G10</f>
        <v/>
      </c>
      <c r="I10" s="57" t="n"/>
      <c r="J10" s="65" t="n">
        <v>4</v>
      </c>
      <c r="K10" s="57">
        <f>'假设'!$H$6</f>
        <v/>
      </c>
      <c r="L10" s="57">
        <f>'假设'!$B$14</f>
        <v/>
      </c>
      <c r="M10" s="57">
        <f>'假设'!$B$27</f>
        <v/>
      </c>
      <c r="N10" s="57">
        <f>0</f>
        <v/>
      </c>
      <c r="O10" s="57">
        <f>K10-L10-M10+N10</f>
        <v/>
      </c>
      <c r="R10" s="58" t="n"/>
      <c r="S10" s="22" t="n"/>
    </row>
    <row r="11" ht="15" customHeight="1" s="32">
      <c r="A11" s="57" t="inlineStr">
        <is>
          <t>设备商利润</t>
        </is>
      </c>
      <c r="B11" s="57">
        <f>'假设'!$B$8*'假设'!$B$20*'假设'!$B$21</f>
        <v/>
      </c>
      <c r="C11" s="57" t="n"/>
      <c r="D11" s="65" t="n">
        <v>6</v>
      </c>
      <c r="E11" s="57">
        <f>'假设'!$B$29</f>
        <v/>
      </c>
      <c r="F11" s="57">
        <f>IF(假设!B34="Fixed",'假设'!$B$16,(('假设'!$B$11+'假设'!$B$12)+假设!B41+假设!B40*(('假设'!$B$9+'假设'!$B$10)-('假设'!$B$11+'假设'!$B$12))))</f>
        <v/>
      </c>
      <c r="G11" s="57">
        <f>0</f>
        <v/>
      </c>
      <c r="H11" s="57">
        <f>E11-F11+G11</f>
        <v/>
      </c>
      <c r="I11" s="57" t="n"/>
      <c r="J11" s="65" t="n">
        <v>5</v>
      </c>
      <c r="K11" s="57">
        <f>'假设'!$H$6</f>
        <v/>
      </c>
      <c r="L11" s="57">
        <f>'假设'!$B$14</f>
        <v/>
      </c>
      <c r="M11" s="57">
        <f>'假设'!$B$27</f>
        <v/>
      </c>
      <c r="N11" s="57">
        <f>0</f>
        <v/>
      </c>
      <c r="O11" s="57">
        <f>K11-L11-M11+N11</f>
        <v/>
      </c>
      <c r="R11" s="58" t="n"/>
      <c r="S11" s="22" t="n"/>
    </row>
    <row r="12" ht="15" customHeight="1" s="32">
      <c r="A12" s="57" t="inlineStr">
        <is>
          <t>EPC利润</t>
        </is>
      </c>
      <c r="B12" s="57">
        <f>'假设'!$B$8*'假设'!$B$22*'假设'!$B$23</f>
        <v/>
      </c>
      <c r="C12" s="57" t="n"/>
      <c r="D12" s="65" t="n">
        <v>7</v>
      </c>
      <c r="E12" s="57">
        <f>'假设'!$B$29</f>
        <v/>
      </c>
      <c r="F12" s="57">
        <f>IF(假设!B34="Fixed",'假设'!$B$16,(('假设'!$B$11+'假设'!$B$12)+假设!B41+假设!B40*(('假设'!$B$9+'假设'!$B$10)-('假设'!$B$11+'假设'!$B$12))))</f>
        <v/>
      </c>
      <c r="G12" s="57">
        <f>0</f>
        <v/>
      </c>
      <c r="H12" s="57">
        <f>E12-F12+G12</f>
        <v/>
      </c>
      <c r="I12" s="57" t="n"/>
      <c r="J12" s="65" t="n">
        <v>6</v>
      </c>
      <c r="K12" s="57">
        <f>'假设'!$H$6</f>
        <v/>
      </c>
      <c r="L12" s="57">
        <f>'假设'!$B$14</f>
        <v/>
      </c>
      <c r="M12" s="57">
        <f>'假设'!$B$27</f>
        <v/>
      </c>
      <c r="N12" s="57">
        <f>0</f>
        <v/>
      </c>
      <c r="O12" s="57">
        <f>K12-L12-M12+N12</f>
        <v/>
      </c>
    </row>
    <row r="13" ht="15" customHeight="1" s="32">
      <c r="A13" s="57" t="inlineStr">
        <is>
          <t>资金方总利息</t>
        </is>
      </c>
      <c r="B13" s="57">
        <f>'融资摊还'!$D$16</f>
        <v/>
      </c>
      <c r="C13" s="57" t="n"/>
      <c r="D13" s="65" t="n">
        <v>8</v>
      </c>
      <c r="E13" s="57">
        <f>'假设'!$B$29</f>
        <v/>
      </c>
      <c r="F13" s="57">
        <f>IF(假设!B34="Fixed",'假设'!$B$16,(('假设'!$B$11+'假设'!$B$12)+假设!B41+假设!B40*(('假设'!$B$9+'假设'!$B$10)-('假设'!$B$11+'假设'!$B$12))))</f>
        <v/>
      </c>
      <c r="G13" s="57">
        <f>0</f>
        <v/>
      </c>
      <c r="H13" s="57">
        <f>E13-F13+G13</f>
        <v/>
      </c>
      <c r="I13" s="57" t="n"/>
      <c r="J13" s="65" t="n">
        <v>7</v>
      </c>
      <c r="K13" s="57">
        <f>'假设'!$H$6</f>
        <v/>
      </c>
      <c r="L13" s="57">
        <f>'假设'!$B$14</f>
        <v/>
      </c>
      <c r="M13" s="57">
        <f>'假设'!$B$27</f>
        <v/>
      </c>
      <c r="N13" s="57">
        <f>0</f>
        <v/>
      </c>
      <c r="O13" s="57">
        <f>K13-L13-M13+N13</f>
        <v/>
      </c>
    </row>
    <row r="14" ht="15" customHeight="1" s="32">
      <c r="A14" s="57" t="inlineStr">
        <is>
          <t>资金方净息差</t>
        </is>
      </c>
      <c r="B14" s="57">
        <f>'融资摊还'!$H$16</f>
        <v/>
      </c>
      <c r="C14" s="57" t="n"/>
      <c r="D14" s="65" t="n">
        <v>9</v>
      </c>
      <c r="E14" s="57">
        <f>'假设'!$B$29</f>
        <v/>
      </c>
      <c r="F14" s="57">
        <f>IF(假设!B34="Fixed",'假设'!$B$16,(('假设'!$B$11+'假设'!$B$12)+假设!B41+假设!B40*(('假设'!$B$9+'假设'!$B$10)-('假设'!$B$11+'假设'!$B$12))))</f>
        <v/>
      </c>
      <c r="G14" s="57">
        <f>0</f>
        <v/>
      </c>
      <c r="H14" s="57">
        <f>E14-F14+G14</f>
        <v/>
      </c>
      <c r="I14" s="57" t="n"/>
      <c r="J14" s="65" t="n">
        <v>8</v>
      </c>
      <c r="K14" s="57">
        <f>'假设'!$H$6</f>
        <v/>
      </c>
      <c r="L14" s="57">
        <f>'假设'!$B$14</f>
        <v/>
      </c>
      <c r="M14" s="57">
        <f>'假设'!$B$27</f>
        <v/>
      </c>
      <c r="N14" s="57">
        <f>0</f>
        <v/>
      </c>
      <c r="O14" s="57">
        <f>K14-L14-M14+N14</f>
        <v/>
      </c>
    </row>
    <row r="15" ht="15" customHeight="1" s="32">
      <c r="A15" s="57" t="n"/>
      <c r="B15" s="57" t="n"/>
      <c r="C15" s="57" t="n"/>
      <c r="D15" s="65" t="n">
        <v>10</v>
      </c>
      <c r="E15" s="57">
        <f>'假设'!$B$29</f>
        <v/>
      </c>
      <c r="F15" s="57">
        <f>IF(假设!B34="Fixed",'假设'!$B$16,(('假设'!$B$11+'假设'!$B$12)+假设!B41+假设!B40*(('假设'!$B$9+'假设'!$B$10)-('假设'!$B$11+'假设'!$B$12))))</f>
        <v/>
      </c>
      <c r="G15" s="57">
        <f>'假设'!$B$24</f>
        <v/>
      </c>
      <c r="H15" s="57">
        <f>E15-F15+G15</f>
        <v/>
      </c>
      <c r="I15" s="57" t="n"/>
      <c r="J15" s="65" t="n">
        <v>9</v>
      </c>
      <c r="K15" s="57">
        <f>'假设'!$H$6</f>
        <v/>
      </c>
      <c r="L15" s="57">
        <f>'假设'!$B$14</f>
        <v/>
      </c>
      <c r="M15" s="57">
        <f>'假设'!$B$27</f>
        <v/>
      </c>
      <c r="N15" s="57">
        <f>0</f>
        <v/>
      </c>
      <c r="O15" s="57">
        <f>K15-L15-M15+N15</f>
        <v/>
      </c>
    </row>
    <row r="16" ht="15" customHeight="1" s="32">
      <c r="A16" s="57" t="n"/>
      <c r="B16" s="57" t="n"/>
      <c r="C16" s="57" t="n"/>
      <c r="D16" s="57" t="inlineStr">
        <is>
          <t>合计</t>
        </is>
      </c>
      <c r="E16" s="57">
        <f>SUM(E6:E15)</f>
        <v/>
      </c>
      <c r="F16" s="57">
        <f>SUM(F6:F15)</f>
        <v/>
      </c>
      <c r="G16" s="57">
        <f>SUM(G6:G15)</f>
        <v/>
      </c>
      <c r="H16" s="57">
        <f>SUM(H6:H15)</f>
        <v/>
      </c>
      <c r="I16" s="57" t="n"/>
      <c r="J16" s="65" t="n">
        <v>10</v>
      </c>
      <c r="K16" s="57">
        <f>'假设'!$H$6</f>
        <v/>
      </c>
      <c r="L16" s="57">
        <f>'假设'!$B$14</f>
        <v/>
      </c>
      <c r="M16" s="57">
        <f>'假设'!$B$27</f>
        <v/>
      </c>
      <c r="N16" s="57">
        <f>0</f>
        <v/>
      </c>
      <c r="O16" s="57">
        <f>K16-L16-M16+N16</f>
        <v/>
      </c>
    </row>
    <row r="17" ht="15" customHeight="1" s="32">
      <c r="A17" s="57" t="n"/>
      <c r="B17" s="57" t="n"/>
      <c r="C17" s="57" t="n"/>
      <c r="D17" s="56" t="n"/>
      <c r="E17" s="56" t="n"/>
      <c r="F17" s="56" t="n"/>
      <c r="G17" s="56" t="n"/>
      <c r="H17" s="56" t="n"/>
      <c r="I17" s="57" t="n"/>
      <c r="J17" s="56" t="inlineStr">
        <is>
          <t>合计</t>
        </is>
      </c>
      <c r="K17" s="56">
        <f>SUM(K6:K16)</f>
        <v/>
      </c>
      <c r="L17" s="56">
        <f>SUM(L6:L16)</f>
        <v/>
      </c>
      <c r="M17" s="56">
        <f>SUM(M6:M16)</f>
        <v/>
      </c>
      <c r="N17" s="56">
        <f>SUM(N6:N16)</f>
        <v/>
      </c>
      <c r="O17" s="56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能源托管：业主年投入恒定下的参与方收益拆解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说明：业主每年总投入固定为同一金额；能源托管下甲方不再单独支付电费与运维，全部体现在托管费中。第10年终值归甲方。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6" t="inlineStr">
        <is>
          <t>指标</t>
        </is>
      </c>
      <c r="B5" s="56" t="inlineStr">
        <is>
          <t>数值</t>
        </is>
      </c>
      <c r="C5" s="57" t="n"/>
      <c r="D5" s="56" t="inlineStr">
        <is>
          <t>年份</t>
        </is>
      </c>
      <c r="E5" s="56" t="inlineStr">
        <is>
          <t>基线成本</t>
        </is>
      </c>
      <c r="F5" s="56" t="inlineStr">
        <is>
          <t>甲方实际流出</t>
        </is>
      </c>
      <c r="G5" s="56" t="inlineStr">
        <is>
          <t>归甲方终值</t>
        </is>
      </c>
      <c r="H5" s="56" t="inlineStr">
        <is>
          <t>甲方增量收益</t>
        </is>
      </c>
      <c r="I5" s="57" t="n"/>
      <c r="J5" s="56" t="inlineStr">
        <is>
          <t>年份</t>
        </is>
      </c>
      <c r="K5" s="56" t="inlineStr">
        <is>
          <t>收入</t>
        </is>
      </c>
      <c r="L5" s="56" t="inlineStr">
        <is>
          <t>直接运营成本</t>
        </is>
      </c>
      <c r="M5" s="56" t="inlineStr">
        <is>
          <t>债务偿付</t>
        </is>
      </c>
      <c r="N5" s="56" t="inlineStr">
        <is>
          <t>残值归服务方</t>
        </is>
      </c>
      <c r="O5" s="56" t="inlineStr">
        <is>
          <t>股权现金流</t>
        </is>
      </c>
      <c r="Q5" s="20" t="n"/>
      <c r="R5" s="20" t="n"/>
      <c r="S5" s="20" t="n"/>
    </row>
    <row r="6" ht="15" customHeight="1" s="32">
      <c r="A6" s="57" t="inlineStr">
        <is>
          <t>业主年总投入（恒定）</t>
        </is>
      </c>
      <c r="B6" s="57">
        <f>'假设'!$B$16</f>
        <v/>
      </c>
      <c r="C6" s="57" t="n"/>
      <c r="D6" s="65" t="n">
        <v>1</v>
      </c>
      <c r="E6" s="57">
        <f>'假设'!$B$29</f>
        <v/>
      </c>
      <c r="F6" s="57">
        <f>IF(假设!B34="Fixed",'假设'!$B$16,(假设!B42))</f>
        <v/>
      </c>
      <c r="G6" s="57">
        <f>0</f>
        <v/>
      </c>
      <c r="H6" s="57">
        <f>E6-F6+G6</f>
        <v/>
      </c>
      <c r="I6" s="57" t="n"/>
      <c r="J6" s="65" t="n">
        <v>0</v>
      </c>
      <c r="K6" s="57">
        <f>0</f>
        <v/>
      </c>
      <c r="L6" s="57">
        <f>0</f>
        <v/>
      </c>
      <c r="M6" s="57">
        <f>0</f>
        <v/>
      </c>
      <c r="N6" s="57">
        <f>0</f>
        <v/>
      </c>
      <c r="O6" s="57">
        <f>-'假设'!$B$26</f>
        <v/>
      </c>
      <c r="R6" s="58" t="n"/>
      <c r="S6" s="22" t="n"/>
    </row>
    <row r="7" ht="15" customHeight="1" s="32">
      <c r="A7" s="57" t="inlineStr">
        <is>
          <t>甲方10年净收益</t>
        </is>
      </c>
      <c r="B7" s="57">
        <f>'假设'!$B$30-B6*'假设'!$B$6+='假设'!$B$24</f>
        <v/>
      </c>
      <c r="C7" s="57" t="n"/>
      <c r="D7" s="65" t="n">
        <v>2</v>
      </c>
      <c r="E7" s="57">
        <f>'假设'!$B$29</f>
        <v/>
      </c>
      <c r="F7" s="57">
        <f>IF(假设!B34="Fixed",'假设'!$B$16,(假设!B42))</f>
        <v/>
      </c>
      <c r="G7" s="57">
        <f>0</f>
        <v/>
      </c>
      <c r="H7" s="57">
        <f>E7-F7+G7</f>
        <v/>
      </c>
      <c r="I7" s="57" t="n"/>
      <c r="J7" s="65" t="n">
        <v>1</v>
      </c>
      <c r="K7" s="57">
        <f>'假设'!$H$7</f>
        <v/>
      </c>
      <c r="L7" s="57">
        <f>'假设'!$B$11+'假设'!$B$12+'假设'!$B$13</f>
        <v/>
      </c>
      <c r="M7" s="57">
        <f>'假设'!$B$27</f>
        <v/>
      </c>
      <c r="N7" s="57">
        <f>0</f>
        <v/>
      </c>
      <c r="O7" s="57">
        <f>K7-L7-M7+N7</f>
        <v/>
      </c>
      <c r="R7" s="58" t="n"/>
      <c r="S7" s="22" t="n"/>
    </row>
    <row r="8" ht="15" customHeight="1" s="32">
      <c r="A8" s="57" t="inlineStr">
        <is>
          <t>核心服务方10年净现金</t>
        </is>
      </c>
      <c r="B8" s="57">
        <f>SUM(O6:O16)</f>
        <v/>
      </c>
      <c r="C8" s="57" t="n"/>
      <c r="D8" s="65" t="n">
        <v>3</v>
      </c>
      <c r="E8" s="57">
        <f>'假设'!$B$29</f>
        <v/>
      </c>
      <c r="F8" s="57">
        <f>IF(假设!B34="Fixed",'假设'!$B$16,(假设!B42))</f>
        <v/>
      </c>
      <c r="G8" s="57">
        <f>0</f>
        <v/>
      </c>
      <c r="H8" s="57">
        <f>E8-F8+G8</f>
        <v/>
      </c>
      <c r="I8" s="57" t="n"/>
      <c r="J8" s="65" t="n">
        <v>2</v>
      </c>
      <c r="K8" s="57">
        <f>'假设'!$H$7</f>
        <v/>
      </c>
      <c r="L8" s="57">
        <f>'假设'!$B$11+'假设'!$B$12+'假设'!$B$13</f>
        <v/>
      </c>
      <c r="M8" s="57">
        <f>'假设'!$B$27</f>
        <v/>
      </c>
      <c r="N8" s="57">
        <f>0</f>
        <v/>
      </c>
      <c r="O8" s="57">
        <f>K8-L8-M8+N8</f>
        <v/>
      </c>
      <c r="R8" s="58" t="n"/>
      <c r="S8" s="22" t="n"/>
    </row>
    <row r="9" ht="15" customHeight="1" s="32">
      <c r="A9" s="57" t="inlineStr">
        <is>
          <t>核心服务方10年收入</t>
        </is>
      </c>
      <c r="B9" s="57">
        <f>SUM(K6:K16)+SUM(N6:N16)</f>
        <v/>
      </c>
      <c r="C9" s="57" t="n"/>
      <c r="D9" s="65" t="n">
        <v>4</v>
      </c>
      <c r="E9" s="57">
        <f>'假设'!$B$29</f>
        <v/>
      </c>
      <c r="F9" s="57">
        <f>IF(假设!B34="Fixed",'假设'!$B$16,(假设!B42))</f>
        <v/>
      </c>
      <c r="G9" s="57">
        <f>0</f>
        <v/>
      </c>
      <c r="H9" s="57">
        <f>E9-F9+G9</f>
        <v/>
      </c>
      <c r="I9" s="57" t="n"/>
      <c r="J9" s="65" t="n">
        <v>3</v>
      </c>
      <c r="K9" s="57">
        <f>'假设'!$H$7</f>
        <v/>
      </c>
      <c r="L9" s="57">
        <f>'假设'!$B$11+'假设'!$B$12+'假设'!$B$13</f>
        <v/>
      </c>
      <c r="M9" s="57">
        <f>'假设'!$B$27</f>
        <v/>
      </c>
      <c r="N9" s="57">
        <f>0</f>
        <v/>
      </c>
      <c r="O9" s="57">
        <f>K9-L9-M9+N9</f>
        <v/>
      </c>
      <c r="R9" s="58" t="n"/>
      <c r="S9" s="22" t="n"/>
    </row>
    <row r="10" ht="15" customHeight="1" s="32">
      <c r="A10" s="57" t="inlineStr">
        <is>
          <t>核心服务方10年直接运营成本</t>
        </is>
      </c>
      <c r="B10" s="57">
        <f>SUM(L6:L16)</f>
        <v/>
      </c>
      <c r="C10" s="57" t="n"/>
      <c r="D10" s="65" t="n">
        <v>5</v>
      </c>
      <c r="E10" s="57">
        <f>'假设'!$B$29</f>
        <v/>
      </c>
      <c r="F10" s="57">
        <f>IF(假设!B34="Fixed",'假设'!$B$16,(假设!B42))</f>
        <v/>
      </c>
      <c r="G10" s="57">
        <f>0</f>
        <v/>
      </c>
      <c r="H10" s="57">
        <f>E10-F10+G10</f>
        <v/>
      </c>
      <c r="I10" s="57" t="n"/>
      <c r="J10" s="65" t="n">
        <v>4</v>
      </c>
      <c r="K10" s="57">
        <f>'假设'!$H$7</f>
        <v/>
      </c>
      <c r="L10" s="57">
        <f>'假设'!$B$11+'假设'!$B$12+'假设'!$B$13</f>
        <v/>
      </c>
      <c r="M10" s="57">
        <f>'假设'!$B$27</f>
        <v/>
      </c>
      <c r="N10" s="57">
        <f>0</f>
        <v/>
      </c>
      <c r="O10" s="57">
        <f>K10-L10-M10+N10</f>
        <v/>
      </c>
      <c r="R10" s="58" t="n"/>
      <c r="S10" s="22" t="n"/>
    </row>
    <row r="11" ht="15" customHeight="1" s="32">
      <c r="A11" s="57" t="inlineStr">
        <is>
          <t>设备商利润</t>
        </is>
      </c>
      <c r="B11" s="57">
        <f>'假设'!$B$8*'假设'!$B$20*'假设'!$B$21</f>
        <v/>
      </c>
      <c r="C11" s="57" t="n"/>
      <c r="D11" s="65" t="n">
        <v>6</v>
      </c>
      <c r="E11" s="57">
        <f>'假设'!$B$29</f>
        <v/>
      </c>
      <c r="F11" s="57">
        <f>IF(假设!B34="Fixed",'假设'!$B$16,(假设!B42))</f>
        <v/>
      </c>
      <c r="G11" s="57">
        <f>0</f>
        <v/>
      </c>
      <c r="H11" s="57">
        <f>E11-F11+G11</f>
        <v/>
      </c>
      <c r="I11" s="57" t="n"/>
      <c r="J11" s="65" t="n">
        <v>5</v>
      </c>
      <c r="K11" s="57">
        <f>'假设'!$H$7</f>
        <v/>
      </c>
      <c r="L11" s="57">
        <f>'假设'!$B$11+'假设'!$B$12+'假设'!$B$13</f>
        <v/>
      </c>
      <c r="M11" s="57">
        <f>'假设'!$B$27</f>
        <v/>
      </c>
      <c r="N11" s="57">
        <f>0</f>
        <v/>
      </c>
      <c r="O11" s="57">
        <f>K11-L11-M11+N11</f>
        <v/>
      </c>
      <c r="R11" s="58" t="n"/>
      <c r="S11" s="22" t="n"/>
    </row>
    <row r="12" ht="15" customHeight="1" s="32">
      <c r="A12" s="57" t="inlineStr">
        <is>
          <t>EPC利润</t>
        </is>
      </c>
      <c r="B12" s="57">
        <f>'假设'!$B$8*'假设'!$B$22*'假设'!$B$23</f>
        <v/>
      </c>
      <c r="C12" s="57" t="n"/>
      <c r="D12" s="65" t="n">
        <v>7</v>
      </c>
      <c r="E12" s="57">
        <f>'假设'!$B$29</f>
        <v/>
      </c>
      <c r="F12" s="57">
        <f>IF(假设!B34="Fixed",'假设'!$B$16,(假设!B42))</f>
        <v/>
      </c>
      <c r="G12" s="57">
        <f>0</f>
        <v/>
      </c>
      <c r="H12" s="57">
        <f>E12-F12+G12</f>
        <v/>
      </c>
      <c r="I12" s="57" t="n"/>
      <c r="J12" s="65" t="n">
        <v>6</v>
      </c>
      <c r="K12" s="57">
        <f>'假设'!$H$7</f>
        <v/>
      </c>
      <c r="L12" s="57">
        <f>'假设'!$B$11+'假设'!$B$12+'假设'!$B$13</f>
        <v/>
      </c>
      <c r="M12" s="57">
        <f>'假设'!$B$27</f>
        <v/>
      </c>
      <c r="N12" s="57">
        <f>0</f>
        <v/>
      </c>
      <c r="O12" s="57">
        <f>K12-L12-M12+N12</f>
        <v/>
      </c>
    </row>
    <row r="13" ht="15" customHeight="1" s="32">
      <c r="A13" s="57" t="inlineStr">
        <is>
          <t>资金方总利息</t>
        </is>
      </c>
      <c r="B13" s="57">
        <f>'融资摊还'!$D$16</f>
        <v/>
      </c>
      <c r="C13" s="57" t="n"/>
      <c r="D13" s="65" t="n">
        <v>8</v>
      </c>
      <c r="E13" s="57">
        <f>'假设'!$B$29</f>
        <v/>
      </c>
      <c r="F13" s="57">
        <f>IF(假设!B34="Fixed",'假设'!$B$16,(假设!B42))</f>
        <v/>
      </c>
      <c r="G13" s="57">
        <f>0</f>
        <v/>
      </c>
      <c r="H13" s="57">
        <f>E13-F13+G13</f>
        <v/>
      </c>
      <c r="I13" s="57" t="n"/>
      <c r="J13" s="65" t="n">
        <v>7</v>
      </c>
      <c r="K13" s="57">
        <f>'假设'!$H$7</f>
        <v/>
      </c>
      <c r="L13" s="57">
        <f>'假设'!$B$11+'假设'!$B$12+'假设'!$B$13</f>
        <v/>
      </c>
      <c r="M13" s="57">
        <f>'假设'!$B$27</f>
        <v/>
      </c>
      <c r="N13" s="57">
        <f>0</f>
        <v/>
      </c>
      <c r="O13" s="57">
        <f>K13-L13-M13+N13</f>
        <v/>
      </c>
    </row>
    <row r="14" ht="15" customHeight="1" s="32">
      <c r="A14" s="57" t="inlineStr">
        <is>
          <t>资金方净息差</t>
        </is>
      </c>
      <c r="B14" s="57">
        <f>'融资摊还'!$H$16</f>
        <v/>
      </c>
      <c r="C14" s="57" t="n"/>
      <c r="D14" s="65" t="n">
        <v>9</v>
      </c>
      <c r="E14" s="57">
        <f>'假设'!$B$29</f>
        <v/>
      </c>
      <c r="F14" s="57">
        <f>IF(假设!B34="Fixed",'假设'!$B$16,(假设!B42))</f>
        <v/>
      </c>
      <c r="G14" s="57">
        <f>0</f>
        <v/>
      </c>
      <c r="H14" s="57">
        <f>E14-F14+G14</f>
        <v/>
      </c>
      <c r="I14" s="57" t="n"/>
      <c r="J14" s="65" t="n">
        <v>8</v>
      </c>
      <c r="K14" s="57">
        <f>'假设'!$H$7</f>
        <v/>
      </c>
      <c r="L14" s="57">
        <f>'假设'!$B$11+'假设'!$B$12+'假设'!$B$13</f>
        <v/>
      </c>
      <c r="M14" s="57">
        <f>'假设'!$B$27</f>
        <v/>
      </c>
      <c r="N14" s="57">
        <f>0</f>
        <v/>
      </c>
      <c r="O14" s="57">
        <f>K14-L14-M14+N14</f>
        <v/>
      </c>
    </row>
    <row r="15" ht="15" customHeight="1" s="32">
      <c r="A15" s="57" t="n"/>
      <c r="B15" s="57" t="n"/>
      <c r="C15" s="57" t="n"/>
      <c r="D15" s="65" t="n">
        <v>10</v>
      </c>
      <c r="E15" s="57">
        <f>'假设'!$B$29</f>
        <v/>
      </c>
      <c r="F15" s="57">
        <f>IF(假设!B34="Fixed",'假设'!$B$16,(假设!B42))</f>
        <v/>
      </c>
      <c r="G15" s="57">
        <f>'假设'!$B$24</f>
        <v/>
      </c>
      <c r="H15" s="57">
        <f>E15-F15+G15</f>
        <v/>
      </c>
      <c r="I15" s="57" t="n"/>
      <c r="J15" s="65" t="n">
        <v>9</v>
      </c>
      <c r="K15" s="57">
        <f>'假设'!$H$7</f>
        <v/>
      </c>
      <c r="L15" s="57">
        <f>'假设'!$B$11+'假设'!$B$12+'假设'!$B$13</f>
        <v/>
      </c>
      <c r="M15" s="57">
        <f>'假设'!$B$27</f>
        <v/>
      </c>
      <c r="N15" s="57">
        <f>0</f>
        <v/>
      </c>
      <c r="O15" s="57">
        <f>K15-L15-M15+N15</f>
        <v/>
      </c>
    </row>
    <row r="16" ht="15" customHeight="1" s="32">
      <c r="A16" s="57" t="n"/>
      <c r="B16" s="57" t="n"/>
      <c r="C16" s="57" t="n"/>
      <c r="D16" s="57" t="inlineStr">
        <is>
          <t>合计</t>
        </is>
      </c>
      <c r="E16" s="57">
        <f>SUM(E6:E15)</f>
        <v/>
      </c>
      <c r="F16" s="57">
        <f>SUM(F6:F15)</f>
        <v/>
      </c>
      <c r="G16" s="57">
        <f>SUM(G6:G15)</f>
        <v/>
      </c>
      <c r="H16" s="57">
        <f>SUM(H6:H15)</f>
        <v/>
      </c>
      <c r="I16" s="57" t="n"/>
      <c r="J16" s="65" t="n">
        <v>10</v>
      </c>
      <c r="K16" s="57">
        <f>'假设'!$H$7</f>
        <v/>
      </c>
      <c r="L16" s="57">
        <f>'假设'!$B$11+'假设'!$B$12+'假设'!$B$13</f>
        <v/>
      </c>
      <c r="M16" s="57">
        <f>'假设'!$B$27</f>
        <v/>
      </c>
      <c r="N16" s="57">
        <f>0</f>
        <v/>
      </c>
      <c r="O16" s="57">
        <f>K16-L16-M16+N16</f>
        <v/>
      </c>
    </row>
    <row r="17" ht="15" customHeight="1" s="32">
      <c r="A17" s="57" t="n"/>
      <c r="B17" s="57" t="n"/>
      <c r="C17" s="57" t="n"/>
      <c r="D17" s="56" t="n"/>
      <c r="E17" s="56" t="n"/>
      <c r="F17" s="56" t="n"/>
      <c r="G17" s="56" t="n"/>
      <c r="H17" s="56" t="n"/>
      <c r="I17" s="57" t="n"/>
      <c r="J17" s="56" t="inlineStr">
        <is>
          <t>合计</t>
        </is>
      </c>
      <c r="K17" s="56">
        <f>SUM(K6:K16)</f>
        <v/>
      </c>
      <c r="L17" s="56">
        <f>SUM(L6:L16)</f>
        <v/>
      </c>
      <c r="M17" s="56">
        <f>SUM(M6:M16)</f>
        <v/>
      </c>
      <c r="N17" s="56">
        <f>SUM(N6:N16)</f>
        <v/>
      </c>
      <c r="O17" s="56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LaaS：业主年投入恒定下的参与方收益拆解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说明：业主每年总投入固定为同一金额；LaaS下甲方仍自付电费，服务商承担运维与平台成本。第10年残值默认归服务商。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6" t="inlineStr">
        <is>
          <t>指标</t>
        </is>
      </c>
      <c r="B5" s="56" t="inlineStr">
        <is>
          <t>数值</t>
        </is>
      </c>
      <c r="C5" s="57" t="n"/>
      <c r="D5" s="56" t="inlineStr">
        <is>
          <t>年份</t>
        </is>
      </c>
      <c r="E5" s="56" t="inlineStr">
        <is>
          <t>基线成本</t>
        </is>
      </c>
      <c r="F5" s="56" t="inlineStr">
        <is>
          <t>甲方实际流出</t>
        </is>
      </c>
      <c r="G5" s="56" t="inlineStr">
        <is>
          <t>归甲方终值</t>
        </is>
      </c>
      <c r="H5" s="56" t="inlineStr">
        <is>
          <t>甲方增量收益</t>
        </is>
      </c>
      <c r="I5" s="57" t="n"/>
      <c r="J5" s="56" t="inlineStr">
        <is>
          <t>年份</t>
        </is>
      </c>
      <c r="K5" s="56" t="inlineStr">
        <is>
          <t>收入</t>
        </is>
      </c>
      <c r="L5" s="56" t="inlineStr">
        <is>
          <t>直接运营成本</t>
        </is>
      </c>
      <c r="M5" s="56" t="inlineStr">
        <is>
          <t>债务偿付</t>
        </is>
      </c>
      <c r="N5" s="56" t="inlineStr">
        <is>
          <t>残值归服务方</t>
        </is>
      </c>
      <c r="O5" s="56" t="inlineStr">
        <is>
          <t>股权现金流</t>
        </is>
      </c>
      <c r="Q5" s="20" t="n"/>
      <c r="R5" s="20" t="n"/>
      <c r="S5" s="20" t="n"/>
    </row>
    <row r="6" ht="15" customHeight="1" s="32">
      <c r="A6" s="57" t="inlineStr">
        <is>
          <t>业主年总投入（恒定）</t>
        </is>
      </c>
      <c r="B6" s="57">
        <f>'假设'!$B$16</f>
        <v/>
      </c>
      <c r="C6" s="57" t="n"/>
      <c r="D6" s="65" t="n">
        <v>1</v>
      </c>
      <c r="E6" s="57">
        <f>'假设'!$B$29</f>
        <v/>
      </c>
      <c r="F6" s="57">
        <f>IF(假设!B34="Fixed",'假设'!$B$16,(假设!B43+假设!B44))</f>
        <v/>
      </c>
      <c r="G6" s="57">
        <f>0</f>
        <v/>
      </c>
      <c r="H6" s="57">
        <f>E6-F6+G6</f>
        <v/>
      </c>
      <c r="I6" s="57" t="n"/>
      <c r="J6" s="65" t="n">
        <v>0</v>
      </c>
      <c r="K6" s="57">
        <f>0</f>
        <v/>
      </c>
      <c r="L6" s="57">
        <f>0</f>
        <v/>
      </c>
      <c r="M6" s="57">
        <f>0</f>
        <v/>
      </c>
      <c r="N6" s="57">
        <f>0</f>
        <v/>
      </c>
      <c r="O6" s="57">
        <f>-'假设'!$B$26</f>
        <v/>
      </c>
      <c r="R6" s="58" t="n"/>
      <c r="S6" s="22" t="n"/>
    </row>
    <row r="7" ht="15" customHeight="1" s="32">
      <c r="A7" s="57" t="inlineStr">
        <is>
          <t>甲方10年净收益</t>
        </is>
      </c>
      <c r="B7" s="57">
        <f>'假设'!$B$30-B6*'假设'!$B$6+0</f>
        <v/>
      </c>
      <c r="C7" s="57" t="n"/>
      <c r="D7" s="65" t="n">
        <v>2</v>
      </c>
      <c r="E7" s="57">
        <f>'假设'!$B$29</f>
        <v/>
      </c>
      <c r="F7" s="57">
        <f>IF(假设!B34="Fixed",'假设'!$B$16,(假设!B43+假设!B44))</f>
        <v/>
      </c>
      <c r="G7" s="57">
        <f>0</f>
        <v/>
      </c>
      <c r="H7" s="57">
        <f>E7-F7+G7</f>
        <v/>
      </c>
      <c r="I7" s="57" t="n"/>
      <c r="J7" s="65" t="n">
        <v>1</v>
      </c>
      <c r="K7" s="57">
        <f>'假设'!$H$8</f>
        <v/>
      </c>
      <c r="L7" s="57">
        <f>'假设'!$B$12+'假设'!$B$13</f>
        <v/>
      </c>
      <c r="M7" s="57">
        <f>'假设'!$B$27</f>
        <v/>
      </c>
      <c r="N7" s="57">
        <f>0</f>
        <v/>
      </c>
      <c r="O7" s="57">
        <f>K7-L7-M7+N7</f>
        <v/>
      </c>
      <c r="R7" s="58" t="n"/>
      <c r="S7" s="22" t="n"/>
    </row>
    <row r="8" ht="15" customHeight="1" s="32">
      <c r="A8" s="57" t="inlineStr">
        <is>
          <t>核心服务方10年净现金</t>
        </is>
      </c>
      <c r="B8" s="57">
        <f>SUM(O6:O16)</f>
        <v/>
      </c>
      <c r="C8" s="57" t="n"/>
      <c r="D8" s="65" t="n">
        <v>3</v>
      </c>
      <c r="E8" s="57">
        <f>'假设'!$B$29</f>
        <v/>
      </c>
      <c r="F8" s="57">
        <f>IF(假设!B34="Fixed",'假设'!$B$16,(假设!B43+假设!B44))</f>
        <v/>
      </c>
      <c r="G8" s="57">
        <f>0</f>
        <v/>
      </c>
      <c r="H8" s="57">
        <f>E8-F8+G8</f>
        <v/>
      </c>
      <c r="I8" s="57" t="n"/>
      <c r="J8" s="65" t="n">
        <v>2</v>
      </c>
      <c r="K8" s="57">
        <f>'假设'!$H$8</f>
        <v/>
      </c>
      <c r="L8" s="57">
        <f>'假设'!$B$12+'假设'!$B$13</f>
        <v/>
      </c>
      <c r="M8" s="57">
        <f>'假设'!$B$27</f>
        <v/>
      </c>
      <c r="N8" s="57">
        <f>0</f>
        <v/>
      </c>
      <c r="O8" s="57">
        <f>K8-L8-M8+N8</f>
        <v/>
      </c>
      <c r="R8" s="58" t="n"/>
      <c r="S8" s="22" t="n"/>
    </row>
    <row r="9" ht="15" customHeight="1" s="32">
      <c r="A9" s="57" t="inlineStr">
        <is>
          <t>核心服务方10年收入</t>
        </is>
      </c>
      <c r="B9" s="57">
        <f>SUM(K6:K16)+SUM(N6:N16)</f>
        <v/>
      </c>
      <c r="C9" s="57" t="n"/>
      <c r="D9" s="65" t="n">
        <v>4</v>
      </c>
      <c r="E9" s="57">
        <f>'假设'!$B$29</f>
        <v/>
      </c>
      <c r="F9" s="57">
        <f>IF(假设!B34="Fixed",'假设'!$B$16,(假设!B43+假设!B44))</f>
        <v/>
      </c>
      <c r="G9" s="57">
        <f>0</f>
        <v/>
      </c>
      <c r="H9" s="57">
        <f>E9-F9+G9</f>
        <v/>
      </c>
      <c r="I9" s="57" t="n"/>
      <c r="J9" s="65" t="n">
        <v>3</v>
      </c>
      <c r="K9" s="57">
        <f>'假设'!$H$8</f>
        <v/>
      </c>
      <c r="L9" s="57">
        <f>'假设'!$B$12+'假设'!$B$13</f>
        <v/>
      </c>
      <c r="M9" s="57">
        <f>'假设'!$B$27</f>
        <v/>
      </c>
      <c r="N9" s="57">
        <f>0</f>
        <v/>
      </c>
      <c r="O9" s="57">
        <f>K9-L9-M9+N9</f>
        <v/>
      </c>
      <c r="R9" s="58" t="n"/>
      <c r="S9" s="22" t="n"/>
    </row>
    <row r="10" ht="15" customHeight="1" s="32">
      <c r="A10" s="57" t="inlineStr">
        <is>
          <t>核心服务方10年直接运营成本</t>
        </is>
      </c>
      <c r="B10" s="57">
        <f>SUM(L6:L16)</f>
        <v/>
      </c>
      <c r="C10" s="57" t="n"/>
      <c r="D10" s="65" t="n">
        <v>5</v>
      </c>
      <c r="E10" s="57">
        <f>'假设'!$B$29</f>
        <v/>
      </c>
      <c r="F10" s="57">
        <f>IF(假设!B34="Fixed",'假设'!$B$16,(假设!B43+假设!B44))</f>
        <v/>
      </c>
      <c r="G10" s="57">
        <f>0</f>
        <v/>
      </c>
      <c r="H10" s="57">
        <f>E10-F10+G10</f>
        <v/>
      </c>
      <c r="I10" s="57" t="n"/>
      <c r="J10" s="65" t="n">
        <v>4</v>
      </c>
      <c r="K10" s="57">
        <f>'假设'!$H$8</f>
        <v/>
      </c>
      <c r="L10" s="57">
        <f>'假设'!$B$12+'假设'!$B$13</f>
        <v/>
      </c>
      <c r="M10" s="57">
        <f>'假设'!$B$27</f>
        <v/>
      </c>
      <c r="N10" s="57">
        <f>0</f>
        <v/>
      </c>
      <c r="O10" s="57">
        <f>K10-L10-M10+N10</f>
        <v/>
      </c>
      <c r="R10" s="58" t="n"/>
      <c r="S10" s="22" t="n"/>
    </row>
    <row r="11" ht="15" customHeight="1" s="32">
      <c r="A11" s="57" t="inlineStr">
        <is>
          <t>设备商利润</t>
        </is>
      </c>
      <c r="B11" s="57">
        <f>'假设'!$B$8*'假设'!$B$20*'假设'!$B$21</f>
        <v/>
      </c>
      <c r="C11" s="57" t="n"/>
      <c r="D11" s="65" t="n">
        <v>6</v>
      </c>
      <c r="E11" s="57">
        <f>'假设'!$B$29</f>
        <v/>
      </c>
      <c r="F11" s="57">
        <f>IF(假设!B34="Fixed",'假设'!$B$16,(假设!B43+假设!B44))</f>
        <v/>
      </c>
      <c r="G11" s="57">
        <f>0</f>
        <v/>
      </c>
      <c r="H11" s="57">
        <f>E11-F11+G11</f>
        <v/>
      </c>
      <c r="I11" s="57" t="n"/>
      <c r="J11" s="65" t="n">
        <v>5</v>
      </c>
      <c r="K11" s="57">
        <f>'假设'!$H$8</f>
        <v/>
      </c>
      <c r="L11" s="57">
        <f>'假设'!$B$12+'假设'!$B$13</f>
        <v/>
      </c>
      <c r="M11" s="57">
        <f>'假设'!$B$27</f>
        <v/>
      </c>
      <c r="N11" s="57">
        <f>0</f>
        <v/>
      </c>
      <c r="O11" s="57">
        <f>K11-L11-M11+N11</f>
        <v/>
      </c>
      <c r="R11" s="58" t="n"/>
      <c r="S11" s="22" t="n"/>
    </row>
    <row r="12" ht="15" customHeight="1" s="32">
      <c r="A12" s="57" t="inlineStr">
        <is>
          <t>EPC利润</t>
        </is>
      </c>
      <c r="B12" s="57">
        <f>'假设'!$B$8*'假设'!$B$22*'假设'!$B$23</f>
        <v/>
      </c>
      <c r="C12" s="57" t="n"/>
      <c r="D12" s="65" t="n">
        <v>7</v>
      </c>
      <c r="E12" s="57">
        <f>'假设'!$B$29</f>
        <v/>
      </c>
      <c r="F12" s="57">
        <f>IF(假设!B34="Fixed",'假设'!$B$16,(假设!B43+假设!B44))</f>
        <v/>
      </c>
      <c r="G12" s="57">
        <f>0</f>
        <v/>
      </c>
      <c r="H12" s="57">
        <f>E12-F12+G12</f>
        <v/>
      </c>
      <c r="I12" s="57" t="n"/>
      <c r="J12" s="65" t="n">
        <v>6</v>
      </c>
      <c r="K12" s="57">
        <f>'假设'!$H$8</f>
        <v/>
      </c>
      <c r="L12" s="57">
        <f>'假设'!$B$12+'假设'!$B$13</f>
        <v/>
      </c>
      <c r="M12" s="57">
        <f>'假设'!$B$27</f>
        <v/>
      </c>
      <c r="N12" s="57">
        <f>0</f>
        <v/>
      </c>
      <c r="O12" s="57">
        <f>K12-L12-M12+N12</f>
        <v/>
      </c>
    </row>
    <row r="13" ht="15" customHeight="1" s="32">
      <c r="A13" s="57" t="inlineStr">
        <is>
          <t>资金方总利息</t>
        </is>
      </c>
      <c r="B13" s="57">
        <f>'融资摊还'!$D$16</f>
        <v/>
      </c>
      <c r="C13" s="57" t="n"/>
      <c r="D13" s="65" t="n">
        <v>8</v>
      </c>
      <c r="E13" s="57">
        <f>'假设'!$B$29</f>
        <v/>
      </c>
      <c r="F13" s="57">
        <f>IF(假设!B34="Fixed",'假设'!$B$16,(假设!B43+假设!B44))</f>
        <v/>
      </c>
      <c r="G13" s="57">
        <f>0</f>
        <v/>
      </c>
      <c r="H13" s="57">
        <f>E13-F13+G13</f>
        <v/>
      </c>
      <c r="I13" s="57" t="n"/>
      <c r="J13" s="65" t="n">
        <v>7</v>
      </c>
      <c r="K13" s="57">
        <f>'假设'!$H$8</f>
        <v/>
      </c>
      <c r="L13" s="57">
        <f>'假设'!$B$12+'假设'!$B$13</f>
        <v/>
      </c>
      <c r="M13" s="57">
        <f>'假设'!$B$27</f>
        <v/>
      </c>
      <c r="N13" s="57">
        <f>0</f>
        <v/>
      </c>
      <c r="O13" s="57">
        <f>K13-L13-M13+N13</f>
        <v/>
      </c>
    </row>
    <row r="14" ht="15" customHeight="1" s="32">
      <c r="A14" s="57" t="inlineStr">
        <is>
          <t>资金方净息差</t>
        </is>
      </c>
      <c r="B14" s="57">
        <f>'融资摊还'!$H$16</f>
        <v/>
      </c>
      <c r="C14" s="57" t="n"/>
      <c r="D14" s="65" t="n">
        <v>9</v>
      </c>
      <c r="E14" s="57">
        <f>'假设'!$B$29</f>
        <v/>
      </c>
      <c r="F14" s="57">
        <f>IF(假设!B34="Fixed",'假设'!$B$16,(假设!B43+假设!B44))</f>
        <v/>
      </c>
      <c r="G14" s="57">
        <f>0</f>
        <v/>
      </c>
      <c r="H14" s="57">
        <f>E14-F14+G14</f>
        <v/>
      </c>
      <c r="I14" s="57" t="n"/>
      <c r="J14" s="65" t="n">
        <v>8</v>
      </c>
      <c r="K14" s="57">
        <f>'假设'!$H$8</f>
        <v/>
      </c>
      <c r="L14" s="57">
        <f>'假设'!$B$12+'假设'!$B$13</f>
        <v/>
      </c>
      <c r="M14" s="57">
        <f>'假设'!$B$27</f>
        <v/>
      </c>
      <c r="N14" s="57">
        <f>0</f>
        <v/>
      </c>
      <c r="O14" s="57">
        <f>K14-L14-M14+N14</f>
        <v/>
      </c>
    </row>
    <row r="15" ht="15" customHeight="1" s="32">
      <c r="A15" s="57" t="n"/>
      <c r="B15" s="57" t="n"/>
      <c r="C15" s="57" t="n"/>
      <c r="D15" s="65" t="n">
        <v>10</v>
      </c>
      <c r="E15" s="57">
        <f>'假设'!$B$29</f>
        <v/>
      </c>
      <c r="F15" s="57">
        <f>IF(假设!B34="Fixed",'假设'!$B$16,(假设!B43+假设!B44))</f>
        <v/>
      </c>
      <c r="G15" s="57">
        <f>0</f>
        <v/>
      </c>
      <c r="H15" s="57">
        <f>E15-F15+G15</f>
        <v/>
      </c>
      <c r="I15" s="57" t="n"/>
      <c r="J15" s="65" t="n">
        <v>9</v>
      </c>
      <c r="K15" s="57">
        <f>'假设'!$H$8</f>
        <v/>
      </c>
      <c r="L15" s="57">
        <f>'假设'!$B$12+'假设'!$B$13</f>
        <v/>
      </c>
      <c r="M15" s="57">
        <f>'假设'!$B$27</f>
        <v/>
      </c>
      <c r="N15" s="57">
        <f>0</f>
        <v/>
      </c>
      <c r="O15" s="57">
        <f>K15-L15-M15+N15</f>
        <v/>
      </c>
    </row>
    <row r="16" ht="15" customHeight="1" s="32">
      <c r="A16" s="57" t="n"/>
      <c r="B16" s="57" t="n"/>
      <c r="C16" s="57" t="n"/>
      <c r="D16" s="57" t="inlineStr">
        <is>
          <t>合计</t>
        </is>
      </c>
      <c r="E16" s="57">
        <f>SUM(E6:E15)</f>
        <v/>
      </c>
      <c r="F16" s="57">
        <f>SUM(F6:F15)</f>
        <v/>
      </c>
      <c r="G16" s="57">
        <f>SUM(G6:G15)</f>
        <v/>
      </c>
      <c r="H16" s="57">
        <f>SUM(H6:H15)</f>
        <v/>
      </c>
      <c r="I16" s="57" t="n"/>
      <c r="J16" s="65" t="n">
        <v>10</v>
      </c>
      <c r="K16" s="57">
        <f>'假设'!$H$8</f>
        <v/>
      </c>
      <c r="L16" s="57">
        <f>'假设'!$B$12+'假设'!$B$13</f>
        <v/>
      </c>
      <c r="M16" s="57">
        <f>'假设'!$B$27</f>
        <v/>
      </c>
      <c r="N16" s="57">
        <f>'假设'!$B$24</f>
        <v/>
      </c>
      <c r="O16" s="57">
        <f>K16-L16-M16+N16</f>
        <v/>
      </c>
    </row>
    <row r="17" ht="15" customHeight="1" s="32">
      <c r="A17" s="57" t="n"/>
      <c r="B17" s="57" t="n"/>
      <c r="C17" s="57" t="n"/>
      <c r="D17" s="56" t="n"/>
      <c r="E17" s="56" t="n"/>
      <c r="F17" s="56" t="n"/>
      <c r="G17" s="56" t="n"/>
      <c r="H17" s="56" t="n"/>
      <c r="I17" s="57" t="n"/>
      <c r="J17" s="56" t="inlineStr">
        <is>
          <t>合计</t>
        </is>
      </c>
      <c r="K17" s="56">
        <f>SUM(K6:K16)</f>
        <v/>
      </c>
      <c r="L17" s="56">
        <f>SUM(L6:L16)</f>
        <v/>
      </c>
      <c r="M17" s="56">
        <f>SUM(M6:M16)</f>
        <v/>
      </c>
      <c r="N17" s="56">
        <f>SUM(N6:N16)</f>
        <v/>
      </c>
      <c r="O17" s="56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租赁：业主年投入恒定下的参与方收益拆解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说明：业主每年总投入固定为同一金额；租赁下甲方自付电费与运维，租金由剩余空间决定。第10年终值归甲方。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6" t="inlineStr">
        <is>
          <t>指标</t>
        </is>
      </c>
      <c r="B5" s="56" t="inlineStr">
        <is>
          <t>数值</t>
        </is>
      </c>
      <c r="C5" s="57" t="n"/>
      <c r="D5" s="56" t="inlineStr">
        <is>
          <t>年份</t>
        </is>
      </c>
      <c r="E5" s="56" t="inlineStr">
        <is>
          <t>基线成本</t>
        </is>
      </c>
      <c r="F5" s="56" t="inlineStr">
        <is>
          <t>甲方实际流出</t>
        </is>
      </c>
      <c r="G5" s="56" t="inlineStr">
        <is>
          <t>归甲方终值</t>
        </is>
      </c>
      <c r="H5" s="56" t="inlineStr">
        <is>
          <t>甲方增量收益</t>
        </is>
      </c>
      <c r="I5" s="57" t="n"/>
      <c r="J5" s="56" t="inlineStr">
        <is>
          <t>年份</t>
        </is>
      </c>
      <c r="K5" s="56" t="inlineStr">
        <is>
          <t>收入</t>
        </is>
      </c>
      <c r="L5" s="56" t="inlineStr">
        <is>
          <t>直接运营成本</t>
        </is>
      </c>
      <c r="M5" s="56" t="inlineStr">
        <is>
          <t>债务偿付</t>
        </is>
      </c>
      <c r="N5" s="56" t="inlineStr">
        <is>
          <t>残值归服务方</t>
        </is>
      </c>
      <c r="O5" s="56" t="inlineStr">
        <is>
          <t>股权现金流</t>
        </is>
      </c>
      <c r="Q5" s="20" t="n"/>
      <c r="R5" s="20" t="n"/>
      <c r="S5" s="20" t="n"/>
    </row>
    <row r="6" ht="15" customHeight="1" s="32">
      <c r="A6" s="57" t="inlineStr">
        <is>
          <t>业主年总投入（恒定）</t>
        </is>
      </c>
      <c r="B6" s="57">
        <f>'假设'!$B$16</f>
        <v/>
      </c>
      <c r="C6" s="57" t="n"/>
      <c r="D6" s="65" t="n">
        <v>1</v>
      </c>
      <c r="E6" s="57">
        <f>'假设'!$B$29</f>
        <v/>
      </c>
      <c r="F6" s="57">
        <f>IF(假设!B34="Fixed",'假设'!$B$16,(假设!B46+'假设'!$B$11+'假设'!$B$12))</f>
        <v/>
      </c>
      <c r="G6" s="57">
        <f>0</f>
        <v/>
      </c>
      <c r="H6" s="57">
        <f>E6-F6+G6</f>
        <v/>
      </c>
      <c r="I6" s="57" t="n"/>
      <c r="J6" s="65" t="n">
        <v>0</v>
      </c>
      <c r="K6" s="57">
        <f>0</f>
        <v/>
      </c>
      <c r="L6" s="57">
        <f>0</f>
        <v/>
      </c>
      <c r="M6" s="57">
        <f>0</f>
        <v/>
      </c>
      <c r="N6" s="57">
        <f>0</f>
        <v/>
      </c>
      <c r="O6" s="57">
        <f>-'假设'!$B$26</f>
        <v/>
      </c>
      <c r="R6" s="58" t="n"/>
      <c r="S6" s="22" t="n"/>
    </row>
    <row r="7" ht="15" customHeight="1" s="32">
      <c r="A7" s="57" t="inlineStr">
        <is>
          <t>甲方10年净收益</t>
        </is>
      </c>
      <c r="B7" s="57">
        <f>'假设'!$B$30-B6*'假设'!$B$6+='假设'!$B$24</f>
        <v/>
      </c>
      <c r="C7" s="57" t="n"/>
      <c r="D7" s="65" t="n">
        <v>2</v>
      </c>
      <c r="E7" s="57">
        <f>'假设'!$B$29</f>
        <v/>
      </c>
      <c r="F7" s="57">
        <f>IF(假设!B34="Fixed",'假设'!$B$16,(假设!B46+'假设'!$B$11+'假设'!$B$12))</f>
        <v/>
      </c>
      <c r="G7" s="57">
        <f>0</f>
        <v/>
      </c>
      <c r="H7" s="57">
        <f>E7-F7+G7</f>
        <v/>
      </c>
      <c r="I7" s="57" t="n"/>
      <c r="J7" s="65" t="n">
        <v>1</v>
      </c>
      <c r="K7" s="57">
        <f>'假设'!$H$9</f>
        <v/>
      </c>
      <c r="L7" s="57">
        <f>'假设'!$B$15</f>
        <v/>
      </c>
      <c r="M7" s="57">
        <f>'假设'!$B$27</f>
        <v/>
      </c>
      <c r="N7" s="57">
        <f>0</f>
        <v/>
      </c>
      <c r="O7" s="57">
        <f>K7-L7-M7+N7</f>
        <v/>
      </c>
      <c r="R7" s="58" t="n"/>
      <c r="S7" s="22" t="n"/>
    </row>
    <row r="8" ht="15" customHeight="1" s="32">
      <c r="A8" s="57" t="inlineStr">
        <is>
          <t>核心服务方10年净现金</t>
        </is>
      </c>
      <c r="B8" s="57">
        <f>SUM(O6:O16)</f>
        <v/>
      </c>
      <c r="C8" s="57" t="n"/>
      <c r="D8" s="65" t="n">
        <v>3</v>
      </c>
      <c r="E8" s="57">
        <f>'假设'!$B$29</f>
        <v/>
      </c>
      <c r="F8" s="57">
        <f>IF(假设!B34="Fixed",'假设'!$B$16,(假设!B46+'假设'!$B$11+'假设'!$B$12))</f>
        <v/>
      </c>
      <c r="G8" s="57">
        <f>0</f>
        <v/>
      </c>
      <c r="H8" s="57">
        <f>E8-F8+G8</f>
        <v/>
      </c>
      <c r="I8" s="57" t="n"/>
      <c r="J8" s="65" t="n">
        <v>2</v>
      </c>
      <c r="K8" s="57">
        <f>'假设'!$H$9</f>
        <v/>
      </c>
      <c r="L8" s="57">
        <f>'假设'!$B$15</f>
        <v/>
      </c>
      <c r="M8" s="57">
        <f>'假设'!$B$27</f>
        <v/>
      </c>
      <c r="N8" s="57">
        <f>0</f>
        <v/>
      </c>
      <c r="O8" s="57">
        <f>K8-L8-M8+N8</f>
        <v/>
      </c>
      <c r="R8" s="58" t="n"/>
      <c r="S8" s="22" t="n"/>
    </row>
    <row r="9" ht="15" customHeight="1" s="32">
      <c r="A9" s="57" t="inlineStr">
        <is>
          <t>核心服务方10年收入</t>
        </is>
      </c>
      <c r="B9" s="57">
        <f>SUM(K6:K16)+SUM(N6:N16)</f>
        <v/>
      </c>
      <c r="C9" s="57" t="n"/>
      <c r="D9" s="65" t="n">
        <v>4</v>
      </c>
      <c r="E9" s="57">
        <f>'假设'!$B$29</f>
        <v/>
      </c>
      <c r="F9" s="57">
        <f>IF(假设!B34="Fixed",'假设'!$B$16,(假设!B46+'假设'!$B$11+'假设'!$B$12))</f>
        <v/>
      </c>
      <c r="G9" s="57">
        <f>0</f>
        <v/>
      </c>
      <c r="H9" s="57">
        <f>E9-F9+G9</f>
        <v/>
      </c>
      <c r="I9" s="57" t="n"/>
      <c r="J9" s="65" t="n">
        <v>3</v>
      </c>
      <c r="K9" s="57">
        <f>'假设'!$H$9</f>
        <v/>
      </c>
      <c r="L9" s="57">
        <f>'假设'!$B$15</f>
        <v/>
      </c>
      <c r="M9" s="57">
        <f>'假设'!$B$27</f>
        <v/>
      </c>
      <c r="N9" s="57">
        <f>0</f>
        <v/>
      </c>
      <c r="O9" s="57">
        <f>K9-L9-M9+N9</f>
        <v/>
      </c>
      <c r="R9" s="58" t="n"/>
      <c r="S9" s="22" t="n"/>
    </row>
    <row r="10" ht="15" customHeight="1" s="32">
      <c r="A10" s="57" t="inlineStr">
        <is>
          <t>核心服务方10年直接运营成本</t>
        </is>
      </c>
      <c r="B10" s="57">
        <f>SUM(L6:L16)</f>
        <v/>
      </c>
      <c r="C10" s="57" t="n"/>
      <c r="D10" s="65" t="n">
        <v>5</v>
      </c>
      <c r="E10" s="57">
        <f>'假设'!$B$29</f>
        <v/>
      </c>
      <c r="F10" s="57">
        <f>IF(假设!B34="Fixed",'假设'!$B$16,(假设!B46+'假设'!$B$11+'假设'!$B$12))</f>
        <v/>
      </c>
      <c r="G10" s="57">
        <f>0</f>
        <v/>
      </c>
      <c r="H10" s="57">
        <f>E10-F10+G10</f>
        <v/>
      </c>
      <c r="I10" s="57" t="n"/>
      <c r="J10" s="65" t="n">
        <v>4</v>
      </c>
      <c r="K10" s="57">
        <f>'假设'!$H$9</f>
        <v/>
      </c>
      <c r="L10" s="57">
        <f>'假设'!$B$15</f>
        <v/>
      </c>
      <c r="M10" s="57">
        <f>'假设'!$B$27</f>
        <v/>
      </c>
      <c r="N10" s="57">
        <f>0</f>
        <v/>
      </c>
      <c r="O10" s="57">
        <f>K10-L10-M10+N10</f>
        <v/>
      </c>
      <c r="R10" s="58" t="n"/>
      <c r="S10" s="22" t="n"/>
    </row>
    <row r="11" ht="15" customHeight="1" s="32">
      <c r="A11" s="57" t="inlineStr">
        <is>
          <t>设备商利润</t>
        </is>
      </c>
      <c r="B11" s="57">
        <f>'假设'!$B$8*'假设'!$B$20*'假设'!$B$21</f>
        <v/>
      </c>
      <c r="C11" s="57" t="n"/>
      <c r="D11" s="65" t="n">
        <v>6</v>
      </c>
      <c r="E11" s="57">
        <f>'假设'!$B$29</f>
        <v/>
      </c>
      <c r="F11" s="57">
        <f>IF(假设!B34="Fixed",'假设'!$B$16,(假设!B46+'假设'!$B$11+'假设'!$B$12))</f>
        <v/>
      </c>
      <c r="G11" s="57">
        <f>0</f>
        <v/>
      </c>
      <c r="H11" s="57">
        <f>E11-F11+G11</f>
        <v/>
      </c>
      <c r="I11" s="57" t="n"/>
      <c r="J11" s="65" t="n">
        <v>5</v>
      </c>
      <c r="K11" s="57">
        <f>'假设'!$H$9</f>
        <v/>
      </c>
      <c r="L11" s="57">
        <f>'假设'!$B$15</f>
        <v/>
      </c>
      <c r="M11" s="57">
        <f>'假设'!$B$27</f>
        <v/>
      </c>
      <c r="N11" s="57">
        <f>0</f>
        <v/>
      </c>
      <c r="O11" s="57">
        <f>K11-L11-M11+N11</f>
        <v/>
      </c>
      <c r="R11" s="58" t="n"/>
      <c r="S11" s="22" t="n"/>
    </row>
    <row r="12" ht="15" customHeight="1" s="32">
      <c r="A12" s="57" t="inlineStr">
        <is>
          <t>EPC利润</t>
        </is>
      </c>
      <c r="B12" s="57">
        <f>'假设'!$B$8*'假设'!$B$22*'假设'!$B$23</f>
        <v/>
      </c>
      <c r="C12" s="57" t="n"/>
      <c r="D12" s="65" t="n">
        <v>7</v>
      </c>
      <c r="E12" s="57">
        <f>'假设'!$B$29</f>
        <v/>
      </c>
      <c r="F12" s="57">
        <f>IF(假设!B34="Fixed",'假设'!$B$16,(假设!B46+'假设'!$B$11+'假设'!$B$12))</f>
        <v/>
      </c>
      <c r="G12" s="57">
        <f>0</f>
        <v/>
      </c>
      <c r="H12" s="57">
        <f>E12-F12+G12</f>
        <v/>
      </c>
      <c r="I12" s="57" t="n"/>
      <c r="J12" s="65" t="n">
        <v>6</v>
      </c>
      <c r="K12" s="57">
        <f>'假设'!$H$9</f>
        <v/>
      </c>
      <c r="L12" s="57">
        <f>'假设'!$B$15</f>
        <v/>
      </c>
      <c r="M12" s="57">
        <f>'假设'!$B$27</f>
        <v/>
      </c>
      <c r="N12" s="57">
        <f>0</f>
        <v/>
      </c>
      <c r="O12" s="57">
        <f>K12-L12-M12+N12</f>
        <v/>
      </c>
    </row>
    <row r="13" ht="15" customHeight="1" s="32">
      <c r="A13" s="57" t="inlineStr">
        <is>
          <t>资金方总利息</t>
        </is>
      </c>
      <c r="B13" s="57">
        <f>'融资摊还'!$D$16</f>
        <v/>
      </c>
      <c r="C13" s="57" t="n"/>
      <c r="D13" s="65" t="n">
        <v>8</v>
      </c>
      <c r="E13" s="57">
        <f>'假设'!$B$29</f>
        <v/>
      </c>
      <c r="F13" s="57">
        <f>IF(假设!B34="Fixed",'假设'!$B$16,(假设!B46+'假设'!$B$11+'假设'!$B$12))</f>
        <v/>
      </c>
      <c r="G13" s="57">
        <f>0</f>
        <v/>
      </c>
      <c r="H13" s="57">
        <f>E13-F13+G13</f>
        <v/>
      </c>
      <c r="I13" s="57" t="n"/>
      <c r="J13" s="65" t="n">
        <v>7</v>
      </c>
      <c r="K13" s="57">
        <f>'假设'!$H$9</f>
        <v/>
      </c>
      <c r="L13" s="57">
        <f>'假设'!$B$15</f>
        <v/>
      </c>
      <c r="M13" s="57">
        <f>'假设'!$B$27</f>
        <v/>
      </c>
      <c r="N13" s="57">
        <f>0</f>
        <v/>
      </c>
      <c r="O13" s="57">
        <f>K13-L13-M13+N13</f>
        <v/>
      </c>
    </row>
    <row r="14" ht="15" customHeight="1" s="32">
      <c r="A14" s="57" t="inlineStr">
        <is>
          <t>资金方净息差</t>
        </is>
      </c>
      <c r="B14" s="57">
        <f>'融资摊还'!$H$16</f>
        <v/>
      </c>
      <c r="C14" s="57" t="n"/>
      <c r="D14" s="65" t="n">
        <v>9</v>
      </c>
      <c r="E14" s="57">
        <f>'假设'!$B$29</f>
        <v/>
      </c>
      <c r="F14" s="57">
        <f>IF(假设!B34="Fixed",'假设'!$B$16,(假设!B46+'假设'!$B$11+'假设'!$B$12))</f>
        <v/>
      </c>
      <c r="G14" s="57">
        <f>0</f>
        <v/>
      </c>
      <c r="H14" s="57">
        <f>E14-F14+G14</f>
        <v/>
      </c>
      <c r="I14" s="57" t="n"/>
      <c r="J14" s="65" t="n">
        <v>8</v>
      </c>
      <c r="K14" s="57">
        <f>'假设'!$H$9</f>
        <v/>
      </c>
      <c r="L14" s="57">
        <f>'假设'!$B$15</f>
        <v/>
      </c>
      <c r="M14" s="57">
        <f>'假设'!$B$27</f>
        <v/>
      </c>
      <c r="N14" s="57">
        <f>0</f>
        <v/>
      </c>
      <c r="O14" s="57">
        <f>K14-L14-M14+N14</f>
        <v/>
      </c>
    </row>
    <row r="15" ht="15" customHeight="1" s="32">
      <c r="A15" s="57" t="n"/>
      <c r="B15" s="57" t="n"/>
      <c r="C15" s="57" t="n"/>
      <c r="D15" s="65" t="n">
        <v>10</v>
      </c>
      <c r="E15" s="57">
        <f>'假设'!$B$29</f>
        <v/>
      </c>
      <c r="F15" s="57">
        <f>IF(假设!B34="Fixed",'假设'!$B$16,(假设!B46+'假设'!$B$11+'假设'!$B$12))</f>
        <v/>
      </c>
      <c r="G15" s="57">
        <f>'假设'!$B$24</f>
        <v/>
      </c>
      <c r="H15" s="57">
        <f>E15-F15+G15</f>
        <v/>
      </c>
      <c r="I15" s="57" t="n"/>
      <c r="J15" s="65" t="n">
        <v>9</v>
      </c>
      <c r="K15" s="57">
        <f>'假设'!$H$9</f>
        <v/>
      </c>
      <c r="L15" s="57">
        <f>'假设'!$B$15</f>
        <v/>
      </c>
      <c r="M15" s="57">
        <f>'假设'!$B$27</f>
        <v/>
      </c>
      <c r="N15" s="57">
        <f>0</f>
        <v/>
      </c>
      <c r="O15" s="57">
        <f>K15-L15-M15+N15</f>
        <v/>
      </c>
    </row>
    <row r="16" ht="15" customHeight="1" s="32">
      <c r="A16" s="57" t="n"/>
      <c r="B16" s="57" t="n"/>
      <c r="C16" s="57" t="n"/>
      <c r="D16" s="57" t="inlineStr">
        <is>
          <t>合计</t>
        </is>
      </c>
      <c r="E16" s="57">
        <f>SUM(E6:E15)</f>
        <v/>
      </c>
      <c r="F16" s="57">
        <f>SUM(F6:F15)</f>
        <v/>
      </c>
      <c r="G16" s="57">
        <f>SUM(G6:G15)</f>
        <v/>
      </c>
      <c r="H16" s="57">
        <f>SUM(H6:H15)</f>
        <v/>
      </c>
      <c r="I16" s="57" t="n"/>
      <c r="J16" s="65" t="n">
        <v>10</v>
      </c>
      <c r="K16" s="57">
        <f>'假设'!$H$9</f>
        <v/>
      </c>
      <c r="L16" s="57">
        <f>'假设'!$B$15</f>
        <v/>
      </c>
      <c r="M16" s="57">
        <f>'假设'!$B$27</f>
        <v/>
      </c>
      <c r="N16" s="57">
        <f>0</f>
        <v/>
      </c>
      <c r="O16" s="57">
        <f>K16-L16-M16+N16</f>
        <v/>
      </c>
    </row>
    <row r="17" ht="15" customHeight="1" s="32">
      <c r="A17" s="57" t="n"/>
      <c r="B17" s="57" t="n"/>
      <c r="C17" s="57" t="n"/>
      <c r="D17" s="56" t="n"/>
      <c r="E17" s="56" t="n"/>
      <c r="F17" s="56" t="n"/>
      <c r="G17" s="56" t="n"/>
      <c r="H17" s="56" t="n"/>
      <c r="I17" s="57" t="n"/>
      <c r="J17" s="56" t="inlineStr">
        <is>
          <t>合计</t>
        </is>
      </c>
      <c r="K17" s="56">
        <f>SUM(K6:K16)</f>
        <v/>
      </c>
      <c r="L17" s="56">
        <f>SUM(L6:L16)</f>
        <v/>
      </c>
      <c r="M17" s="56">
        <f>SUM(M6:M16)</f>
        <v/>
      </c>
      <c r="N17" s="56">
        <f>SUM(N6:N16)</f>
        <v/>
      </c>
      <c r="O17" s="56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2.86000061035156" customWidth="1" style="32" min="1" max="1"/>
    <col width="107" customWidth="1" style="32" min="2" max="2"/>
    <col width="87.56999969482422" customWidth="1" style="32" min="3" max="3"/>
    <col width="87.56999969482422" customWidth="1" style="32" min="4" max="4"/>
    <col width="87.56999969482422" customWidth="1" style="32" min="5" max="5"/>
    <col width="87.56999969482422" customWidth="1" style="32" min="6" max="6"/>
    <col width="87.56999969482422" customWidth="1" style="32" min="7" max="7"/>
    <col width="87.56999969482422" customWidth="1" style="32" min="8" max="8"/>
  </cols>
  <sheetData>
    <row r="1" ht="19.53125" customHeight="1" s="32">
      <c r="A1" s="9" t="inlineStr">
        <is>
          <t>来源与说明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本工作簿的模式定义与利润逻辑沿用此前公开资料；本次修订仅改变建模约束：将“业主年总投入”设为恒定值。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20" t="inlineStr">
        <is>
          <t>主题</t>
        </is>
      </c>
      <c r="B5" s="20" t="inlineStr">
        <is>
          <t>URL</t>
        </is>
      </c>
      <c r="C5" s="20" t="inlineStr">
        <is>
          <t>用途</t>
        </is>
      </c>
    </row>
    <row r="6" ht="15" customHeight="1" s="32">
      <c r="A6" t="inlineStr">
        <is>
          <t>EMC定义 / 回款逻辑</t>
        </is>
      </c>
      <c r="B6" t="inlineStr">
        <is>
          <t>https://www.ndrc.gov.cn/fggz/fzzlgh/gjfzgh/202112/t20211224_1309459.html</t>
        </is>
      </c>
      <c r="C6" s="22" t="inlineStr">
        <is>
          <t>用于确认EMC通过节能收益或服务费回款</t>
        </is>
      </c>
    </row>
    <row r="7" ht="15" customHeight="1" s="32">
      <c r="A7" t="inlineStr">
        <is>
          <t>GB/T 24915 合同类型</t>
        </is>
      </c>
      <c r="B7" t="inlineStr">
        <is>
          <t>https://www.cnis.ac.cn/bydt/bzyjzq/gbyjzq/201901/P020190223345417615159.pdf</t>
        </is>
      </c>
      <c r="C7" s="22" t="inlineStr">
        <is>
          <t>用于确认分享型、保证型、能源托管型、融资租赁型等合同结构</t>
        </is>
      </c>
    </row>
    <row r="8" ht="15" customHeight="1" s="32">
      <c r="A8" t="inlineStr">
        <is>
          <t>公共机构能源费用托管</t>
        </is>
      </c>
      <c r="B8" t="inlineStr">
        <is>
          <t>https://www.nhc.gov.cn/guihuaxxs/c100133/202210/64426e407ed944129269f1a9987d11fa/files/1733226470216_70623.pdf</t>
        </is>
      </c>
      <c r="C8" s="22" t="inlineStr">
        <is>
          <t>用于确认服务采购、5–10年期限、资产移交与预算口径</t>
        </is>
      </c>
    </row>
    <row r="9" ht="15" customHeight="1" s="32">
      <c r="A9" t="inlineStr">
        <is>
          <t>路灯能源托管招标案例</t>
        </is>
      </c>
      <c r="B9" t="inlineStr">
        <is>
          <t>https://ggzyjyzx.tl.gov.cn/jyxx/003002/003002002/20251204/b2640348-e1ba-48ad-90d4-e621d6dca0a2.html</t>
        </is>
      </c>
      <c r="C9" s="22" t="inlineStr">
        <is>
          <t>用于确认路灯托管通常包含改造、电费与维护</t>
        </is>
      </c>
    </row>
    <row r="10" ht="15" customHeight="1" s="32">
      <c r="A10" t="inlineStr">
        <is>
          <t>LaaS 官方说明</t>
        </is>
      </c>
      <c r="B10" t="inlineStr">
        <is>
          <t>https://www.signify.com/global/signify-services/managed-services/light-as-a-service</t>
        </is>
      </c>
      <c r="C10" s="22" t="inlineStr">
        <is>
          <t>用于确认“买光服务，不是买系统”的逻辑</t>
        </is>
      </c>
    </row>
    <row r="11" ht="15" customHeight="1" s="32">
      <c r="A11" t="inlineStr">
        <is>
          <t>LaaS 资产归属 / 残值</t>
        </is>
      </c>
      <c r="B11" t="inlineStr">
        <is>
          <t>https://www.ellenmacarthurfoundation.org/circular-examples/light-as-a-service</t>
        </is>
      </c>
      <c r="C11" s="22" t="inlineStr">
        <is>
          <t>用于确认服务商持有资产与终值/再部署逻辑</t>
        </is>
      </c>
    </row>
    <row r="12" ht="15" customHeight="1" s="32">
      <c r="A12" t="inlineStr">
        <is>
          <t>路灯 lease-to-own</t>
        </is>
      </c>
      <c r="B12" t="inlineStr">
        <is>
          <t>https://ppp.worldbank.org/print/pdf/node/3718</t>
        </is>
      </c>
      <c r="C12" s="22" t="inlineStr">
        <is>
          <t>用于确认路灯租赁/期满移交的交付结构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2" customWidth="1" style="32" min="6" max="6"/>
    <col width="12" customWidth="1" style="32" min="7" max="7"/>
    <col width="12" customWidth="1" style="32" min="8" max="8"/>
    <col width="40" customWidth="1" style="32" min="9" max="9"/>
  </cols>
  <sheetData>
    <row r="1" ht="18.310546875" customHeight="1" s="32">
      <c r="A1" s="38" t="inlineStr">
        <is>
          <t>逐年利润对比（从项目建成第1年开始）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</row>
    <row r="2" ht="36" customHeight="1" s="32">
      <c r="A2" s="22" t="inlineStr">
        <is>
          <t>口径说明：业主年总投入固定；下表只看建成后第1年至第10年的年度差异。设备商、EPC和核心服务方初始股权投入属于建设期一次性项目，不在年度运营差异中拉开模式差距。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</row>
    <row r="4" ht="15" customHeight="1" s="32">
      <c r="A4" s="39" t="inlineStr">
        <is>
          <t>一、甲方逐年增量收益对比（相对改造前基线）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</row>
    <row r="5" ht="15" customHeight="1" s="32">
      <c r="A5" s="41" t="inlineStr">
        <is>
          <t>年份</t>
        </is>
      </c>
      <c r="B5" s="41" t="inlineStr">
        <is>
          <t>EMC</t>
        </is>
      </c>
      <c r="C5" s="41" t="inlineStr">
        <is>
          <t>能源托管</t>
        </is>
      </c>
      <c r="D5" s="41" t="inlineStr">
        <is>
          <t>LaaS</t>
        </is>
      </c>
      <c r="E5" s="41" t="inlineStr">
        <is>
          <t>租赁</t>
        </is>
      </c>
      <c r="F5" s="41" t="inlineStr">
        <is>
          <t>年度最高</t>
        </is>
      </c>
      <c r="G5" s="41" t="inlineStr">
        <is>
          <t>年度最低</t>
        </is>
      </c>
      <c r="H5" s="41" t="inlineStr">
        <is>
          <t>差额</t>
        </is>
      </c>
      <c r="I5" s="41" t="inlineStr">
        <is>
          <t>年度差异说明</t>
        </is>
      </c>
    </row>
    <row r="6" ht="22" customHeight="1" s="32">
      <c r="A6" t="n">
        <v>1</v>
      </c>
      <c r="B6" s="57">
        <f>'EMC模式'!H6</f>
        <v/>
      </c>
      <c r="C6" s="57">
        <f>'能源托管模式'!H6</f>
        <v/>
      </c>
      <c r="D6" s="57">
        <f>'LaaS模式'!H6</f>
        <v/>
      </c>
      <c r="E6" s="57">
        <f>'租赁模式'!H6</f>
        <v/>
      </c>
      <c r="F6" s="57">
        <f>MAX(B6:E6)</f>
        <v/>
      </c>
      <c r="G6" s="57">
        <f>MIN(B6:E6)</f>
        <v/>
      </c>
      <c r="H6" s="57">
        <f>F6-G6</f>
        <v/>
      </c>
      <c r="I6" s="22" t="inlineStr">
        <is>
          <t>前9年甲方收益一致，差异主要不在甲方侧而在服务方分配</t>
        </is>
      </c>
    </row>
    <row r="7" ht="22" customHeight="1" s="32">
      <c r="A7" t="n">
        <v>2</v>
      </c>
      <c r="B7" s="57">
        <f>'EMC模式'!H7</f>
        <v/>
      </c>
      <c r="C7" s="57">
        <f>'能源托管模式'!H7</f>
        <v/>
      </c>
      <c r="D7" s="57">
        <f>'LaaS模式'!H7</f>
        <v/>
      </c>
      <c r="E7" s="57">
        <f>'租赁模式'!H7</f>
        <v/>
      </c>
      <c r="F7" s="57">
        <f>MAX(B7:E7)</f>
        <v/>
      </c>
      <c r="G7" s="57">
        <f>MIN(B7:E7)</f>
        <v/>
      </c>
      <c r="H7" s="57">
        <f>F7-G7</f>
        <v/>
      </c>
      <c r="I7" s="22" t="inlineStr">
        <is>
          <t>前9年甲方收益一致，差异主要不在甲方侧而在服务方分配</t>
        </is>
      </c>
    </row>
    <row r="8" ht="22" customHeight="1" s="32">
      <c r="A8" t="n">
        <v>3</v>
      </c>
      <c r="B8" s="57">
        <f>'EMC模式'!H8</f>
        <v/>
      </c>
      <c r="C8" s="57">
        <f>'能源托管模式'!H8</f>
        <v/>
      </c>
      <c r="D8" s="57">
        <f>'LaaS模式'!H8</f>
        <v/>
      </c>
      <c r="E8" s="57">
        <f>'租赁模式'!H8</f>
        <v/>
      </c>
      <c r="F8" s="57">
        <f>MAX(B8:E8)</f>
        <v/>
      </c>
      <c r="G8" s="57">
        <f>MIN(B8:E8)</f>
        <v/>
      </c>
      <c r="H8" s="57">
        <f>F8-G8</f>
        <v/>
      </c>
      <c r="I8" s="22" t="inlineStr">
        <is>
          <t>前9年甲方收益一致，差异主要不在甲方侧而在服务方分配</t>
        </is>
      </c>
    </row>
    <row r="9" ht="22" customHeight="1" s="32">
      <c r="A9" t="n">
        <v>4</v>
      </c>
      <c r="B9" s="57">
        <f>'EMC模式'!H9</f>
        <v/>
      </c>
      <c r="C9" s="57">
        <f>'能源托管模式'!H9</f>
        <v/>
      </c>
      <c r="D9" s="57">
        <f>'LaaS模式'!H9</f>
        <v/>
      </c>
      <c r="E9" s="57">
        <f>'租赁模式'!H9</f>
        <v/>
      </c>
      <c r="F9" s="57">
        <f>MAX(B9:E9)</f>
        <v/>
      </c>
      <c r="G9" s="57">
        <f>MIN(B9:E9)</f>
        <v/>
      </c>
      <c r="H9" s="57">
        <f>F9-G9</f>
        <v/>
      </c>
      <c r="I9" s="22" t="inlineStr">
        <is>
          <t>前9年甲方收益一致，差异主要不在甲方侧而在服务方分配</t>
        </is>
      </c>
    </row>
    <row r="10" ht="22" customHeight="1" s="32">
      <c r="A10" t="n">
        <v>5</v>
      </c>
      <c r="B10" s="57">
        <f>'EMC模式'!H10</f>
        <v/>
      </c>
      <c r="C10" s="57">
        <f>'能源托管模式'!H10</f>
        <v/>
      </c>
      <c r="D10" s="57">
        <f>'LaaS模式'!H10</f>
        <v/>
      </c>
      <c r="E10" s="57">
        <f>'租赁模式'!H10</f>
        <v/>
      </c>
      <c r="F10" s="57">
        <f>MAX(B10:E10)</f>
        <v/>
      </c>
      <c r="G10" s="57">
        <f>MIN(B10:E10)</f>
        <v/>
      </c>
      <c r="H10" s="57">
        <f>F10-G10</f>
        <v/>
      </c>
      <c r="I10" s="22" t="inlineStr">
        <is>
          <t>前9年甲方收益一致，差异主要不在甲方侧而在服务方分配</t>
        </is>
      </c>
    </row>
    <row r="11" ht="22" customHeight="1" s="32">
      <c r="A11" t="n">
        <v>6</v>
      </c>
      <c r="B11" s="57">
        <f>'EMC模式'!H11</f>
        <v/>
      </c>
      <c r="C11" s="57">
        <f>'能源托管模式'!H11</f>
        <v/>
      </c>
      <c r="D11" s="57">
        <f>'LaaS模式'!H11</f>
        <v/>
      </c>
      <c r="E11" s="57">
        <f>'租赁模式'!H11</f>
        <v/>
      </c>
      <c r="F11" s="57">
        <f>MAX(B11:E11)</f>
        <v/>
      </c>
      <c r="G11" s="57">
        <f>MIN(B11:E11)</f>
        <v/>
      </c>
      <c r="H11" s="57">
        <f>F11-G11</f>
        <v/>
      </c>
      <c r="I11" s="22" t="inlineStr">
        <is>
          <t>前9年甲方收益一致，差异主要不在甲方侧而在服务方分配</t>
        </is>
      </c>
    </row>
    <row r="12" ht="22" customHeight="1" s="32">
      <c r="A12" t="n">
        <v>7</v>
      </c>
      <c r="B12" s="57">
        <f>'EMC模式'!H12</f>
        <v/>
      </c>
      <c r="C12" s="57">
        <f>'能源托管模式'!H12</f>
        <v/>
      </c>
      <c r="D12" s="57">
        <f>'LaaS模式'!H12</f>
        <v/>
      </c>
      <c r="E12" s="57">
        <f>'租赁模式'!H12</f>
        <v/>
      </c>
      <c r="F12" s="57">
        <f>MAX(B12:E12)</f>
        <v/>
      </c>
      <c r="G12" s="57">
        <f>MIN(B12:E12)</f>
        <v/>
      </c>
      <c r="H12" s="57">
        <f>F12-G12</f>
        <v/>
      </c>
      <c r="I12" s="22" t="inlineStr">
        <is>
          <t>前9年甲方收益一致，差异主要不在甲方侧而在服务方分配</t>
        </is>
      </c>
    </row>
    <row r="13" ht="22" customHeight="1" s="32">
      <c r="A13" t="n">
        <v>8</v>
      </c>
      <c r="B13" s="57">
        <f>'EMC模式'!H13</f>
        <v/>
      </c>
      <c r="C13" s="57">
        <f>'能源托管模式'!H13</f>
        <v/>
      </c>
      <c r="D13" s="57">
        <f>'LaaS模式'!H13</f>
        <v/>
      </c>
      <c r="E13" s="57">
        <f>'租赁模式'!H13</f>
        <v/>
      </c>
      <c r="F13" s="57">
        <f>MAX(B13:E13)</f>
        <v/>
      </c>
      <c r="G13" s="57">
        <f>MIN(B13:E13)</f>
        <v/>
      </c>
      <c r="H13" s="57">
        <f>F13-G13</f>
        <v/>
      </c>
      <c r="I13" s="22" t="inlineStr">
        <is>
          <t>前9年甲方收益一致，差异主要不在甲方侧而在服务方分配</t>
        </is>
      </c>
    </row>
    <row r="14" ht="22" customHeight="1" s="32">
      <c r="A14" t="n">
        <v>9</v>
      </c>
      <c r="B14" s="57">
        <f>'EMC模式'!H14</f>
        <v/>
      </c>
      <c r="C14" s="57">
        <f>'能源托管模式'!H14</f>
        <v/>
      </c>
      <c r="D14" s="57">
        <f>'LaaS模式'!H14</f>
        <v/>
      </c>
      <c r="E14" s="57">
        <f>'租赁模式'!H14</f>
        <v/>
      </c>
      <c r="F14" s="57">
        <f>MAX(B14:E14)</f>
        <v/>
      </c>
      <c r="G14" s="57">
        <f>MIN(B14:E14)</f>
        <v/>
      </c>
      <c r="H14" s="57">
        <f>F14-G14</f>
        <v/>
      </c>
      <c r="I14" s="22" t="inlineStr">
        <is>
          <t>前9年甲方收益一致，差异主要不在甲方侧而在服务方分配</t>
        </is>
      </c>
    </row>
    <row r="15" ht="22" customHeight="1" s="32">
      <c r="A15" t="n">
        <v>10</v>
      </c>
      <c r="B15" s="57">
        <f>'EMC模式'!H15</f>
        <v/>
      </c>
      <c r="C15" s="57">
        <f>'能源托管模式'!H15</f>
        <v/>
      </c>
      <c r="D15" s="57">
        <f>'LaaS模式'!H15</f>
        <v/>
      </c>
      <c r="E15" s="57">
        <f>'租赁模式'!H15</f>
        <v/>
      </c>
      <c r="F15" s="57">
        <f>MAX(B15:E15)</f>
        <v/>
      </c>
      <c r="G15" s="57">
        <f>MIN(B15:E15)</f>
        <v/>
      </c>
      <c r="H15" s="57">
        <f>F15-G15</f>
        <v/>
      </c>
      <c r="I15" s="22" t="inlineStr">
        <is>
          <t>第10年开始出现终值归属差异；LaaS默认终值不归甲方</t>
        </is>
      </c>
    </row>
    <row r="16" ht="22" customHeight="1" s="32">
      <c r="A16" s="43" t="inlineStr">
        <is>
          <t>合计</t>
        </is>
      </c>
      <c r="B16" s="67">
        <f>SUM(B6:B15)</f>
        <v/>
      </c>
      <c r="C16" s="67">
        <f>SUM(C6:C15)</f>
        <v/>
      </c>
      <c r="D16" s="67">
        <f>SUM(D6:D15)</f>
        <v/>
      </c>
      <c r="E16" s="67">
        <f>SUM(E6:E15)</f>
        <v/>
      </c>
      <c r="F16" s="67">
        <f>SUM(F6:F15)</f>
        <v/>
      </c>
      <c r="G16" s="67">
        <f>SUM(G6:G15)</f>
        <v/>
      </c>
      <c r="H16" s="67">
        <f>SUM(H6:H15)</f>
        <v/>
      </c>
      <c r="I16" s="44" t="inlineStr">
        <is>
          <t>10年累计差异</t>
        </is>
      </c>
    </row>
    <row r="19" ht="15" customHeight="1" s="32">
      <c r="A19" s="39" t="inlineStr">
        <is>
          <t>二、核心服务方逐年净经营现金对比（未扣建设期初始股权投入）</t>
        </is>
      </c>
      <c r="B19" s="39" t="n"/>
      <c r="C19" s="39" t="n"/>
      <c r="D19" s="39" t="n"/>
      <c r="E19" s="39" t="n"/>
      <c r="F19" s="39" t="n"/>
      <c r="G19" s="39" t="n"/>
      <c r="H19" s="39" t="n"/>
      <c r="I19" s="39" t="n"/>
    </row>
    <row r="20" ht="15" customHeight="1" s="32">
      <c r="A20" s="41" t="inlineStr">
        <is>
          <t>年份</t>
        </is>
      </c>
      <c r="B20" s="41" t="inlineStr">
        <is>
          <t>EMC</t>
        </is>
      </c>
      <c r="C20" s="41" t="inlineStr">
        <is>
          <t>能源托管</t>
        </is>
      </c>
      <c r="D20" s="41" t="inlineStr">
        <is>
          <t>LaaS</t>
        </is>
      </c>
      <c r="E20" s="41" t="inlineStr">
        <is>
          <t>租赁</t>
        </is>
      </c>
      <c r="F20" s="41" t="inlineStr">
        <is>
          <t>年度最高</t>
        </is>
      </c>
      <c r="G20" s="41" t="inlineStr">
        <is>
          <t>年度最低</t>
        </is>
      </c>
      <c r="H20" s="41" t="inlineStr">
        <is>
          <t>差额</t>
        </is>
      </c>
      <c r="I20" s="41" t="inlineStr">
        <is>
          <t>年度差异说明</t>
        </is>
      </c>
    </row>
    <row r="21" ht="22" customHeight="1" s="32">
      <c r="A21" t="n">
        <v>1</v>
      </c>
      <c r="B21" s="57">
        <f>'EMC模式'!K7-'EMC模式'!L7-'EMC模式'!M7+'EMC模式'!N7</f>
        <v/>
      </c>
      <c r="C21" s="57">
        <f>'能源托管模式'!K7-'能源托管模式'!L7-'能源托管模式'!M7+'能源托管模式'!N7</f>
        <v/>
      </c>
      <c r="D21" s="57">
        <f>'LaaS模式'!K7-'LaaS模式'!L7-'LaaS模式'!M7+'LaaS模式'!N7</f>
        <v/>
      </c>
      <c r="E21" s="57">
        <f>'租赁模式'!K7-'租赁模式'!L7-'租赁模式'!M7+'租赁模式'!N7</f>
        <v/>
      </c>
      <c r="F21" s="57">
        <f>MAX(B21:E21)</f>
        <v/>
      </c>
      <c r="G21" s="57">
        <f>MIN(B21:E21)</f>
        <v/>
      </c>
      <c r="H21" s="57">
        <f>F21-G21</f>
        <v/>
      </c>
      <c r="I21" s="22" t="inlineStr">
        <is>
          <t>年度差异主要来自：服务费口径不同 + 谁承担运维成本；债务条件相同</t>
        </is>
      </c>
    </row>
    <row r="22" ht="22" customHeight="1" s="32">
      <c r="A22" t="n">
        <v>2</v>
      </c>
      <c r="B22" s="57">
        <f>'EMC模式'!K8-'EMC模式'!L8-'EMC模式'!M8+'EMC模式'!N8</f>
        <v/>
      </c>
      <c r="C22" s="57">
        <f>'能源托管模式'!K8-'能源托管模式'!L8-'能源托管模式'!M8+'能源托管模式'!N8</f>
        <v/>
      </c>
      <c r="D22" s="57">
        <f>'LaaS模式'!K8-'LaaS模式'!L8-'LaaS模式'!M8+'LaaS模式'!N8</f>
        <v/>
      </c>
      <c r="E22" s="57">
        <f>'租赁模式'!K8-'租赁模式'!L8-'租赁模式'!M8+'租赁模式'!N8</f>
        <v/>
      </c>
      <c r="F22" s="57">
        <f>MAX(B22:E22)</f>
        <v/>
      </c>
      <c r="G22" s="57">
        <f>MIN(B22:E22)</f>
        <v/>
      </c>
      <c r="H22" s="57">
        <f>F22-G22</f>
        <v/>
      </c>
      <c r="I22" s="22" t="inlineStr">
        <is>
          <t>年度差异主要来自：服务费口径不同 + 谁承担运维成本；债务条件相同</t>
        </is>
      </c>
    </row>
    <row r="23" ht="22" customHeight="1" s="32">
      <c r="A23" t="n">
        <v>3</v>
      </c>
      <c r="B23" s="57">
        <f>'EMC模式'!K9-'EMC模式'!L9-'EMC模式'!M9+'EMC模式'!N9</f>
        <v/>
      </c>
      <c r="C23" s="57">
        <f>'能源托管模式'!K9-'能源托管模式'!L9-'能源托管模式'!M9+'能源托管模式'!N9</f>
        <v/>
      </c>
      <c r="D23" s="57">
        <f>'LaaS模式'!K9-'LaaS模式'!L9-'LaaS模式'!M9+'LaaS模式'!N9</f>
        <v/>
      </c>
      <c r="E23" s="57">
        <f>'租赁模式'!K9-'租赁模式'!L9-'租赁模式'!M9+'租赁模式'!N9</f>
        <v/>
      </c>
      <c r="F23" s="57">
        <f>MAX(B23:E23)</f>
        <v/>
      </c>
      <c r="G23" s="57">
        <f>MIN(B23:E23)</f>
        <v/>
      </c>
      <c r="H23" s="57">
        <f>F23-G23</f>
        <v/>
      </c>
      <c r="I23" s="22" t="inlineStr">
        <is>
          <t>年度差异主要来自：服务费口径不同 + 谁承担运维成本；债务条件相同</t>
        </is>
      </c>
    </row>
    <row r="24" ht="22" customHeight="1" s="32">
      <c r="A24" t="n">
        <v>4</v>
      </c>
      <c r="B24" s="57">
        <f>'EMC模式'!K10-'EMC模式'!L10-'EMC模式'!M10+'EMC模式'!N10</f>
        <v/>
      </c>
      <c r="C24" s="57">
        <f>'能源托管模式'!K10-'能源托管模式'!L10-'能源托管模式'!M10+'能源托管模式'!N10</f>
        <v/>
      </c>
      <c r="D24" s="57">
        <f>'LaaS模式'!K10-'LaaS模式'!L10-'LaaS模式'!M10+'LaaS模式'!N10</f>
        <v/>
      </c>
      <c r="E24" s="57">
        <f>'租赁模式'!K10-'租赁模式'!L10-'租赁模式'!M10+'租赁模式'!N10</f>
        <v/>
      </c>
      <c r="F24" s="57">
        <f>MAX(B24:E24)</f>
        <v/>
      </c>
      <c r="G24" s="57">
        <f>MIN(B24:E24)</f>
        <v/>
      </c>
      <c r="H24" s="57">
        <f>F24-G24</f>
        <v/>
      </c>
      <c r="I24" s="22" t="inlineStr">
        <is>
          <t>年度差异主要来自：服务费口径不同 + 谁承担运维成本；债务条件相同</t>
        </is>
      </c>
    </row>
    <row r="25" ht="22" customHeight="1" s="32">
      <c r="A25" t="n">
        <v>5</v>
      </c>
      <c r="B25" s="57">
        <f>'EMC模式'!K11-'EMC模式'!L11-'EMC模式'!M11+'EMC模式'!N11</f>
        <v/>
      </c>
      <c r="C25" s="57">
        <f>'能源托管模式'!K11-'能源托管模式'!L11-'能源托管模式'!M11+'能源托管模式'!N11</f>
        <v/>
      </c>
      <c r="D25" s="57">
        <f>'LaaS模式'!K11-'LaaS模式'!L11-'LaaS模式'!M11+'LaaS模式'!N11</f>
        <v/>
      </c>
      <c r="E25" s="57">
        <f>'租赁模式'!K11-'租赁模式'!L11-'租赁模式'!M11+'租赁模式'!N11</f>
        <v/>
      </c>
      <c r="F25" s="57">
        <f>MAX(B25:E25)</f>
        <v/>
      </c>
      <c r="G25" s="57">
        <f>MIN(B25:E25)</f>
        <v/>
      </c>
      <c r="H25" s="57">
        <f>F25-G25</f>
        <v/>
      </c>
      <c r="I25" s="22" t="inlineStr">
        <is>
          <t>年度差异主要来自：服务费口径不同 + 谁承担运维成本；债务条件相同</t>
        </is>
      </c>
    </row>
    <row r="26" ht="22" customHeight="1" s="32">
      <c r="A26" t="n">
        <v>6</v>
      </c>
      <c r="B26" s="57">
        <f>'EMC模式'!K12-'EMC模式'!L12-'EMC模式'!M12+'EMC模式'!N12</f>
        <v/>
      </c>
      <c r="C26" s="57">
        <f>'能源托管模式'!K12-'能源托管模式'!L12-'能源托管模式'!M12+'能源托管模式'!N12</f>
        <v/>
      </c>
      <c r="D26" s="57">
        <f>'LaaS模式'!K12-'LaaS模式'!L12-'LaaS模式'!M12+'LaaS模式'!N12</f>
        <v/>
      </c>
      <c r="E26" s="57">
        <f>'租赁模式'!K12-'租赁模式'!L12-'租赁模式'!M12+'租赁模式'!N12</f>
        <v/>
      </c>
      <c r="F26" s="57">
        <f>MAX(B26:E26)</f>
        <v/>
      </c>
      <c r="G26" s="57">
        <f>MIN(B26:E26)</f>
        <v/>
      </c>
      <c r="H26" s="57">
        <f>F26-G26</f>
        <v/>
      </c>
      <c r="I26" s="22" t="inlineStr">
        <is>
          <t>年度差异主要来自：服务费口径不同 + 谁承担运维成本；债务条件相同</t>
        </is>
      </c>
    </row>
    <row r="27" ht="22" customHeight="1" s="32">
      <c r="A27" t="n">
        <v>7</v>
      </c>
      <c r="B27" s="57">
        <f>'EMC模式'!K13-'EMC模式'!L13-'EMC模式'!M13+'EMC模式'!N13</f>
        <v/>
      </c>
      <c r="C27" s="57">
        <f>'能源托管模式'!K13-'能源托管模式'!L13-'能源托管模式'!M13+'能源托管模式'!N13</f>
        <v/>
      </c>
      <c r="D27" s="57">
        <f>'LaaS模式'!K13-'LaaS模式'!L13-'LaaS模式'!M13+'LaaS模式'!N13</f>
        <v/>
      </c>
      <c r="E27" s="57">
        <f>'租赁模式'!K13-'租赁模式'!L13-'租赁模式'!M13+'租赁模式'!N13</f>
        <v/>
      </c>
      <c r="F27" s="57">
        <f>MAX(B27:E27)</f>
        <v/>
      </c>
      <c r="G27" s="57">
        <f>MIN(B27:E27)</f>
        <v/>
      </c>
      <c r="H27" s="57">
        <f>F27-G27</f>
        <v/>
      </c>
      <c r="I27" s="22" t="inlineStr">
        <is>
          <t>年度差异主要来自：服务费口径不同 + 谁承担运维成本；债务条件相同</t>
        </is>
      </c>
    </row>
    <row r="28" ht="22" customHeight="1" s="32">
      <c r="A28" t="n">
        <v>8</v>
      </c>
      <c r="B28" s="57">
        <f>'EMC模式'!K14-'EMC模式'!L14-'EMC模式'!M14+'EMC模式'!N14</f>
        <v/>
      </c>
      <c r="C28" s="57">
        <f>'能源托管模式'!K14-'能源托管模式'!L14-'能源托管模式'!M14+'能源托管模式'!N14</f>
        <v/>
      </c>
      <c r="D28" s="57">
        <f>'LaaS模式'!K14-'LaaS模式'!L14-'LaaS模式'!M14+'LaaS模式'!N14</f>
        <v/>
      </c>
      <c r="E28" s="57">
        <f>'租赁模式'!K14-'租赁模式'!L14-'租赁模式'!M14+'租赁模式'!N14</f>
        <v/>
      </c>
      <c r="F28" s="57">
        <f>MAX(B28:E28)</f>
        <v/>
      </c>
      <c r="G28" s="57">
        <f>MIN(B28:E28)</f>
        <v/>
      </c>
      <c r="H28" s="57">
        <f>F28-G28</f>
        <v/>
      </c>
      <c r="I28" s="22" t="inlineStr">
        <is>
          <t>年度差异主要来自：服务费口径不同 + 谁承担运维成本；债务条件相同</t>
        </is>
      </c>
    </row>
    <row r="29" ht="22" customHeight="1" s="32">
      <c r="A29" t="n">
        <v>9</v>
      </c>
      <c r="B29" s="57">
        <f>'EMC模式'!K15-'EMC模式'!L15-'EMC模式'!M15+'EMC模式'!N15</f>
        <v/>
      </c>
      <c r="C29" s="57">
        <f>'能源托管模式'!K15-'能源托管模式'!L15-'能源托管模式'!M15+'能源托管模式'!N15</f>
        <v/>
      </c>
      <c r="D29" s="57">
        <f>'LaaS模式'!K15-'LaaS模式'!L15-'LaaS模式'!M15+'LaaS模式'!N15</f>
        <v/>
      </c>
      <c r="E29" s="57">
        <f>'租赁模式'!K15-'租赁模式'!L15-'租赁模式'!M15+'租赁模式'!N15</f>
        <v/>
      </c>
      <c r="F29" s="57">
        <f>MAX(B29:E29)</f>
        <v/>
      </c>
      <c r="G29" s="57">
        <f>MIN(B29:E29)</f>
        <v/>
      </c>
      <c r="H29" s="57">
        <f>F29-G29</f>
        <v/>
      </c>
      <c r="I29" s="22" t="inlineStr">
        <is>
          <t>年度差异主要来自：服务费口径不同 + 谁承担运维成本；债务条件相同</t>
        </is>
      </c>
    </row>
    <row r="30" ht="22" customHeight="1" s="32">
      <c r="A30" t="n">
        <v>10</v>
      </c>
      <c r="B30" s="57">
        <f>'EMC模式'!K16-'EMC模式'!L16-'EMC模式'!M16+'EMC模式'!N16</f>
        <v/>
      </c>
      <c r="C30" s="57">
        <f>'能源托管模式'!K16-'能源托管模式'!L16-'能源托管模式'!M16+'能源托管模式'!N16</f>
        <v/>
      </c>
      <c r="D30" s="57">
        <f>'LaaS模式'!K16-'LaaS模式'!L16-'LaaS模式'!M16+'LaaS模式'!N16</f>
        <v/>
      </c>
      <c r="E30" s="57">
        <f>'租赁模式'!K16-'租赁模式'!L16-'租赁模式'!M16+'租赁模式'!N16</f>
        <v/>
      </c>
      <c r="F30" s="57">
        <f>MAX(B30:E30)</f>
        <v/>
      </c>
      <c r="G30" s="57">
        <f>MIN(B30:E30)</f>
        <v/>
      </c>
      <c r="H30" s="57">
        <f>F30-G30</f>
        <v/>
      </c>
      <c r="I30" s="22" t="inlineStr">
        <is>
          <t>第10年差异再叠加残值/终值归属；LaaS默认残值归服务方</t>
        </is>
      </c>
    </row>
    <row r="31" ht="22" customHeight="1" s="32">
      <c r="A31" s="43" t="inlineStr">
        <is>
          <t>合计</t>
        </is>
      </c>
      <c r="B31" s="67">
        <f>SUM(B21:B30)</f>
        <v/>
      </c>
      <c r="C31" s="67">
        <f>SUM(C21:C30)</f>
        <v/>
      </c>
      <c r="D31" s="67">
        <f>SUM(D21:D30)</f>
        <v/>
      </c>
      <c r="E31" s="67">
        <f>SUM(E21:E30)</f>
        <v/>
      </c>
      <c r="F31" s="67">
        <f>SUM(F21:F30)</f>
        <v/>
      </c>
      <c r="G31" s="67">
        <f>SUM(G21:G30)</f>
        <v/>
      </c>
      <c r="H31" s="67">
        <f>SUM(H21:H30)</f>
        <v/>
      </c>
      <c r="I31" s="44" t="inlineStr">
        <is>
          <t>10年经营期累计</t>
        </is>
      </c>
    </row>
    <row r="34" ht="15" customHeight="1" s="32">
      <c r="A34" s="39" t="inlineStr">
        <is>
          <t>三、建设期/不拉开年度模式差异的项目</t>
        </is>
      </c>
      <c r="B34" s="39" t="n"/>
      <c r="C34" s="39" t="n"/>
      <c r="D34" s="39" t="n"/>
      <c r="E34" s="39" t="n"/>
    </row>
    <row r="35" ht="15" customHeight="1" s="32">
      <c r="A35" s="41" t="inlineStr">
        <is>
          <t>项目</t>
        </is>
      </c>
      <c r="B35" s="41" t="inlineStr">
        <is>
          <t>发生时点</t>
        </is>
      </c>
      <c r="C35" s="41" t="inlineStr">
        <is>
          <t>金额/口径</t>
        </is>
      </c>
      <c r="D35" s="41" t="inlineStr">
        <is>
          <t>四模式差异</t>
        </is>
      </c>
      <c r="E35" s="41" t="inlineStr">
        <is>
          <t>说明</t>
        </is>
      </c>
    </row>
    <row r="36" ht="22" customHeight="1" s="32">
      <c r="A36" t="inlineStr">
        <is>
          <t>设备商利润</t>
        </is>
      </c>
      <c r="B36" t="inlineStr">
        <is>
          <t>建设期</t>
        </is>
      </c>
      <c r="C36" s="57">
        <f>'汇总对比'!B8</f>
        <v/>
      </c>
      <c r="D36" t="inlineStr">
        <is>
          <t>无</t>
        </is>
      </c>
      <c r="E36" s="22" t="inlineStr">
        <is>
          <t>同一CAPEX口径下，设备商利润在建设期确认，四模式相同</t>
        </is>
      </c>
    </row>
    <row r="37" ht="22" customHeight="1" s="32">
      <c r="A37" t="inlineStr">
        <is>
          <t>EPC利润</t>
        </is>
      </c>
      <c r="B37" t="inlineStr">
        <is>
          <t>建设期</t>
        </is>
      </c>
      <c r="C37" s="57">
        <f>'汇总对比'!B9</f>
        <v/>
      </c>
      <c r="D37" t="inlineStr">
        <is>
          <t>无</t>
        </is>
      </c>
      <c r="E37" s="22" t="inlineStr">
        <is>
          <t>同一CAPEX口径下，EPC利润在建设期确认，四模式相同</t>
        </is>
      </c>
    </row>
    <row r="38" ht="22" customHeight="1" s="32">
      <c r="A38" t="inlineStr">
        <is>
          <t>核心服务方初始股权投入</t>
        </is>
      </c>
      <c r="B38" t="inlineStr">
        <is>
          <t>建设期</t>
        </is>
      </c>
      <c r="C38" s="57">
        <f>'假设'!B8*(1-'假设'!B17)</f>
        <v/>
      </c>
      <c r="D38" t="inlineStr">
        <is>
          <t>无</t>
        </is>
      </c>
      <c r="E38" s="22" t="inlineStr">
        <is>
          <t>四模式均按同一资本金比例投入；它影响最终净收益，但不影响第1-10年的年度经营差异</t>
        </is>
      </c>
    </row>
    <row r="39" ht="22" customHeight="1" s="32">
      <c r="A39" t="inlineStr">
        <is>
          <t>资金方净息差</t>
        </is>
      </c>
      <c r="B39" t="inlineStr">
        <is>
          <t>第1-10年</t>
        </is>
      </c>
      <c r="C39" s="57">
        <f>'汇总对比'!B10</f>
        <v/>
      </c>
      <c r="D39" t="inlineStr">
        <is>
          <t>无</t>
        </is>
      </c>
      <c r="E39" s="22" t="inlineStr">
        <is>
          <t>融资比例、利率、资金成本相同，因此资金方收益基本不拉开模式差距</t>
        </is>
      </c>
    </row>
  </sheetData>
  <conditionalFormatting sqref="H6:H16">
    <cfRule type="dataBar" priority="1">
      <dataBar>
        <cfvo type="min"/>
        <cfvo type="max"/>
        <color rgb="FFA5A5A5"/>
      </dataBar>
    </cfRule>
  </conditionalFormatting>
  <conditionalFormatting sqref="H21:H31">
    <cfRule type="dataBar" priority="2">
      <dataBar>
        <cfvo type="min"/>
        <cfvo type="max"/>
        <color rgb="FFA5A5A5"/>
      </dataBar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2" customWidth="1" style="32" min="1" max="1"/>
    <col width="8" customWidth="1" style="32" min="2" max="2"/>
    <col width="13" customWidth="1" style="32" min="3" max="3"/>
    <col width="12" customWidth="1" style="32" min="4" max="4"/>
    <col width="12" customWidth="1" style="32" min="5" max="5"/>
    <col width="15" customWidth="1" style="32" min="6" max="6"/>
    <col width="12" customWidth="1" style="32" min="7" max="7"/>
    <col width="12" customWidth="1" style="32" min="8" max="8"/>
    <col width="12" customWidth="1" style="32" min="9" max="9"/>
    <col width="12" customWidth="1" style="32" min="10" max="10"/>
    <col width="12" customWidth="1" style="32" min="11" max="11"/>
    <col width="11" customWidth="1" style="32" min="12" max="12"/>
    <col width="14" customWidth="1" style="32" min="13" max="13"/>
    <col width="12" customWidth="1" style="32" min="14" max="14"/>
    <col width="12" customWidth="1" style="32" min="15" max="15"/>
    <col width="12" customWidth="1" style="32" min="16" max="16"/>
    <col width="13" customWidth="1" style="32" min="17" max="17"/>
    <col width="34" customWidth="1" style="32" min="18" max="18"/>
  </cols>
  <sheetData>
    <row r="1" ht="18.310546875" customHeight="1" s="32">
      <c r="A1" s="46" t="inlineStr">
        <is>
          <t>年度差异来源拆解（逐年看利润差在哪里）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</row>
    <row r="2" ht="36" customHeight="1" s="32">
      <c r="A2" s="22" t="inlineStr">
        <is>
          <t>阅读方法：先看甲方侧的D~H列，再看核心服务方侧的I~Q列。与EMC相比，差额到底来自“收入更多”“运维成本更高/更低”还是“第10年残值归属”，都在同一行直接展开。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</row>
    <row r="4" ht="15" customHeight="1" s="32">
      <c r="A4" s="41" t="inlineStr">
        <is>
          <t>模式</t>
        </is>
      </c>
      <c r="B4" s="41" t="inlineStr">
        <is>
          <t>年份</t>
        </is>
      </c>
      <c r="C4" s="41" t="inlineStr">
        <is>
          <t>业主年总投入</t>
        </is>
      </c>
      <c r="D4" s="41" t="inlineStr">
        <is>
          <t>业主自付电费</t>
        </is>
      </c>
      <c r="E4" s="41" t="inlineStr">
        <is>
          <t>业主自付运维</t>
        </is>
      </c>
      <c r="F4" s="41" t="inlineStr">
        <is>
          <t>支付给核心服务方</t>
        </is>
      </c>
      <c r="G4" s="41" t="inlineStr">
        <is>
          <t>甲方增量收益</t>
        </is>
      </c>
      <c r="H4" s="41" t="inlineStr">
        <is>
          <t>甲方较EMC差额</t>
        </is>
      </c>
      <c r="I4" s="41" t="inlineStr">
        <is>
          <t>核心服务方收入</t>
        </is>
      </c>
      <c r="J4" s="41" t="inlineStr">
        <is>
          <t>直接运营成本</t>
        </is>
      </c>
      <c r="K4" s="41" t="inlineStr">
        <is>
          <t>债务偿付</t>
        </is>
      </c>
      <c r="L4" s="41" t="inlineStr">
        <is>
          <t>残值归服务方</t>
        </is>
      </c>
      <c r="M4" s="41" t="inlineStr">
        <is>
          <t>核心服务方净经营现金</t>
        </is>
      </c>
      <c r="N4" s="41" t="inlineStr">
        <is>
          <t>收入较EMC差额</t>
        </is>
      </c>
      <c r="O4" s="41" t="inlineStr">
        <is>
          <t>运营成本较EMC差额</t>
        </is>
      </c>
      <c r="P4" s="41" t="inlineStr">
        <is>
          <t>残值较EMC差额</t>
        </is>
      </c>
      <c r="Q4" s="41" t="inlineStr">
        <is>
          <t>净现金较EMC差额</t>
        </is>
      </c>
      <c r="R4" s="41" t="inlineStr">
        <is>
          <t>差异主要来自</t>
        </is>
      </c>
    </row>
    <row r="6" ht="22" customHeight="1" s="32">
      <c r="A6" t="inlineStr">
        <is>
          <t>EMC</t>
        </is>
      </c>
      <c r="B6" t="n">
        <v>1</v>
      </c>
      <c r="C6" s="57">
        <f>'假设'!E6</f>
        <v/>
      </c>
      <c r="D6" s="57">
        <f>'假设'!F6</f>
        <v/>
      </c>
      <c r="E6" s="57">
        <f>'假设'!G6</f>
        <v/>
      </c>
      <c r="F6" s="57">
        <f>'假设'!H6</f>
        <v/>
      </c>
      <c r="G6" s="57">
        <f>'EMC模式'!H6</f>
        <v/>
      </c>
      <c r="H6" s="57">
        <f>G6-'EMC模式'!H6</f>
        <v/>
      </c>
      <c r="I6" s="57">
        <f>'EMC模式'!K7</f>
        <v/>
      </c>
      <c r="J6" s="57">
        <f>'EMC模式'!L7</f>
        <v/>
      </c>
      <c r="K6" s="57">
        <f>'EMC模式'!M7</f>
        <v/>
      </c>
      <c r="L6" s="57">
        <f>'EMC模式'!N7</f>
        <v/>
      </c>
      <c r="M6" s="57">
        <f>I6-J6-K6+L6</f>
        <v/>
      </c>
      <c r="N6" s="57">
        <f>I6-'EMC模式'!K7</f>
        <v/>
      </c>
      <c r="O6" s="57">
        <f>J6-'EMC模式'!L7</f>
        <v/>
      </c>
      <c r="P6" s="57">
        <f>L6-'EMC模式'!N7</f>
        <v/>
      </c>
      <c r="Q6" s="57">
        <f>M6-('EMC模式'!K7-'EMC模式'!L7-'EMC模式'!M7+'EMC模式'!N7)</f>
        <v/>
      </c>
      <c r="R6" s="22" t="inlineStr">
        <is>
          <t>EMC作为基准模式：业主自付电费+运维，服务方主要赚节能服务费</t>
        </is>
      </c>
    </row>
    <row r="7" ht="22" customHeight="1" s="32">
      <c r="A7" t="inlineStr">
        <is>
          <t>EMC</t>
        </is>
      </c>
      <c r="B7" t="n">
        <v>2</v>
      </c>
      <c r="C7" s="57">
        <f>'假设'!E6</f>
        <v/>
      </c>
      <c r="D7" s="57">
        <f>'假设'!F6</f>
        <v/>
      </c>
      <c r="E7" s="57">
        <f>'假设'!G6</f>
        <v/>
      </c>
      <c r="F7" s="57">
        <f>'假设'!H6</f>
        <v/>
      </c>
      <c r="G7" s="57">
        <f>'EMC模式'!H7</f>
        <v/>
      </c>
      <c r="H7" s="57">
        <f>G7-'EMC模式'!H7</f>
        <v/>
      </c>
      <c r="I7" s="57">
        <f>'EMC模式'!K8</f>
        <v/>
      </c>
      <c r="J7" s="57">
        <f>'EMC模式'!L8</f>
        <v/>
      </c>
      <c r="K7" s="57">
        <f>'EMC模式'!M8</f>
        <v/>
      </c>
      <c r="L7" s="57">
        <f>'EMC模式'!N8</f>
        <v/>
      </c>
      <c r="M7" s="57">
        <f>I7-J7-K7+L7</f>
        <v/>
      </c>
      <c r="N7" s="57">
        <f>I7-'EMC模式'!K8</f>
        <v/>
      </c>
      <c r="O7" s="57">
        <f>J7-'EMC模式'!L8</f>
        <v/>
      </c>
      <c r="P7" s="57">
        <f>L7-'EMC模式'!N8</f>
        <v/>
      </c>
      <c r="Q7" s="57">
        <f>M7-('EMC模式'!K8-'EMC模式'!L8-'EMC模式'!M8+'EMC模式'!N8)</f>
        <v/>
      </c>
      <c r="R7" s="22" t="inlineStr">
        <is>
          <t>EMC作为基准模式：业主自付电费+运维，服务方主要赚节能服务费</t>
        </is>
      </c>
    </row>
    <row r="8" ht="22" customHeight="1" s="32">
      <c r="A8" t="inlineStr">
        <is>
          <t>EMC</t>
        </is>
      </c>
      <c r="B8" t="n">
        <v>3</v>
      </c>
      <c r="C8" s="57">
        <f>'假设'!E6</f>
        <v/>
      </c>
      <c r="D8" s="57">
        <f>'假设'!F6</f>
        <v/>
      </c>
      <c r="E8" s="57">
        <f>'假设'!G6</f>
        <v/>
      </c>
      <c r="F8" s="57">
        <f>'假设'!H6</f>
        <v/>
      </c>
      <c r="G8" s="57">
        <f>'EMC模式'!H8</f>
        <v/>
      </c>
      <c r="H8" s="57">
        <f>G8-'EMC模式'!H8</f>
        <v/>
      </c>
      <c r="I8" s="57">
        <f>'EMC模式'!K9</f>
        <v/>
      </c>
      <c r="J8" s="57">
        <f>'EMC模式'!L9</f>
        <v/>
      </c>
      <c r="K8" s="57">
        <f>'EMC模式'!M9</f>
        <v/>
      </c>
      <c r="L8" s="57">
        <f>'EMC模式'!N9</f>
        <v/>
      </c>
      <c r="M8" s="57">
        <f>I8-J8-K8+L8</f>
        <v/>
      </c>
      <c r="N8" s="57">
        <f>I8-'EMC模式'!K9</f>
        <v/>
      </c>
      <c r="O8" s="57">
        <f>J8-'EMC模式'!L9</f>
        <v/>
      </c>
      <c r="P8" s="57">
        <f>L8-'EMC模式'!N9</f>
        <v/>
      </c>
      <c r="Q8" s="57">
        <f>M8-('EMC模式'!K9-'EMC模式'!L9-'EMC模式'!M9+'EMC模式'!N9)</f>
        <v/>
      </c>
      <c r="R8" s="22" t="inlineStr">
        <is>
          <t>EMC作为基准模式：业主自付电费+运维，服务方主要赚节能服务费</t>
        </is>
      </c>
    </row>
    <row r="9" ht="22" customHeight="1" s="32">
      <c r="A9" t="inlineStr">
        <is>
          <t>EMC</t>
        </is>
      </c>
      <c r="B9" t="n">
        <v>4</v>
      </c>
      <c r="C9" s="57">
        <f>'假设'!E6</f>
        <v/>
      </c>
      <c r="D9" s="57">
        <f>'假设'!F6</f>
        <v/>
      </c>
      <c r="E9" s="57">
        <f>'假设'!G6</f>
        <v/>
      </c>
      <c r="F9" s="57">
        <f>'假设'!H6</f>
        <v/>
      </c>
      <c r="G9" s="57">
        <f>'EMC模式'!H9</f>
        <v/>
      </c>
      <c r="H9" s="57">
        <f>G9-'EMC模式'!H9</f>
        <v/>
      </c>
      <c r="I9" s="57">
        <f>'EMC模式'!K10</f>
        <v/>
      </c>
      <c r="J9" s="57">
        <f>'EMC模式'!L10</f>
        <v/>
      </c>
      <c r="K9" s="57">
        <f>'EMC模式'!M10</f>
        <v/>
      </c>
      <c r="L9" s="57">
        <f>'EMC模式'!N10</f>
        <v/>
      </c>
      <c r="M9" s="57">
        <f>I9-J9-K9+L9</f>
        <v/>
      </c>
      <c r="N9" s="57">
        <f>I9-'EMC模式'!K10</f>
        <v/>
      </c>
      <c r="O9" s="57">
        <f>J9-'EMC模式'!L10</f>
        <v/>
      </c>
      <c r="P9" s="57">
        <f>L9-'EMC模式'!N10</f>
        <v/>
      </c>
      <c r="Q9" s="57">
        <f>M9-('EMC模式'!K10-'EMC模式'!L10-'EMC模式'!M10+'EMC模式'!N10)</f>
        <v/>
      </c>
      <c r="R9" s="22" t="inlineStr">
        <is>
          <t>EMC作为基准模式：业主自付电费+运维，服务方主要赚节能服务费</t>
        </is>
      </c>
    </row>
    <row r="10" ht="22" customHeight="1" s="32">
      <c r="A10" t="inlineStr">
        <is>
          <t>EMC</t>
        </is>
      </c>
      <c r="B10" t="n">
        <v>5</v>
      </c>
      <c r="C10" s="57">
        <f>'假设'!E6</f>
        <v/>
      </c>
      <c r="D10" s="57">
        <f>'假设'!F6</f>
        <v/>
      </c>
      <c r="E10" s="57">
        <f>'假设'!G6</f>
        <v/>
      </c>
      <c r="F10" s="57">
        <f>'假设'!H6</f>
        <v/>
      </c>
      <c r="G10" s="57">
        <f>'EMC模式'!H10</f>
        <v/>
      </c>
      <c r="H10" s="57">
        <f>G10-'EMC模式'!H10</f>
        <v/>
      </c>
      <c r="I10" s="57">
        <f>'EMC模式'!K11</f>
        <v/>
      </c>
      <c r="J10" s="57">
        <f>'EMC模式'!L11</f>
        <v/>
      </c>
      <c r="K10" s="57">
        <f>'EMC模式'!M11</f>
        <v/>
      </c>
      <c r="L10" s="57">
        <f>'EMC模式'!N11</f>
        <v/>
      </c>
      <c r="M10" s="57">
        <f>I10-J10-K10+L10</f>
        <v/>
      </c>
      <c r="N10" s="57">
        <f>I10-'EMC模式'!K11</f>
        <v/>
      </c>
      <c r="O10" s="57">
        <f>J10-'EMC模式'!L11</f>
        <v/>
      </c>
      <c r="P10" s="57">
        <f>L10-'EMC模式'!N11</f>
        <v/>
      </c>
      <c r="Q10" s="57">
        <f>M10-('EMC模式'!K11-'EMC模式'!L11-'EMC模式'!M11+'EMC模式'!N11)</f>
        <v/>
      </c>
      <c r="R10" s="22" t="inlineStr">
        <is>
          <t>EMC作为基准模式：业主自付电费+运维，服务方主要赚节能服务费</t>
        </is>
      </c>
    </row>
    <row r="11" ht="22" customHeight="1" s="32">
      <c r="A11" t="inlineStr">
        <is>
          <t>EMC</t>
        </is>
      </c>
      <c r="B11" t="n">
        <v>6</v>
      </c>
      <c r="C11" s="57">
        <f>'假设'!E6</f>
        <v/>
      </c>
      <c r="D11" s="57">
        <f>'假设'!F6</f>
        <v/>
      </c>
      <c r="E11" s="57">
        <f>'假设'!G6</f>
        <v/>
      </c>
      <c r="F11" s="57">
        <f>'假设'!H6</f>
        <v/>
      </c>
      <c r="G11" s="57">
        <f>'EMC模式'!H11</f>
        <v/>
      </c>
      <c r="H11" s="57">
        <f>G11-'EMC模式'!H11</f>
        <v/>
      </c>
      <c r="I11" s="57">
        <f>'EMC模式'!K12</f>
        <v/>
      </c>
      <c r="J11" s="57">
        <f>'EMC模式'!L12</f>
        <v/>
      </c>
      <c r="K11" s="57">
        <f>'EMC模式'!M12</f>
        <v/>
      </c>
      <c r="L11" s="57">
        <f>'EMC模式'!N12</f>
        <v/>
      </c>
      <c r="M11" s="57">
        <f>I11-J11-K11+L11</f>
        <v/>
      </c>
      <c r="N11" s="57">
        <f>I11-'EMC模式'!K12</f>
        <v/>
      </c>
      <c r="O11" s="57">
        <f>J11-'EMC模式'!L12</f>
        <v/>
      </c>
      <c r="P11" s="57">
        <f>L11-'EMC模式'!N12</f>
        <v/>
      </c>
      <c r="Q11" s="57">
        <f>M11-('EMC模式'!K12-'EMC模式'!L12-'EMC模式'!M12+'EMC模式'!N12)</f>
        <v/>
      </c>
      <c r="R11" s="22" t="inlineStr">
        <is>
          <t>EMC作为基准模式：业主自付电费+运维，服务方主要赚节能服务费</t>
        </is>
      </c>
    </row>
    <row r="12" ht="22" customHeight="1" s="32">
      <c r="A12" t="inlineStr">
        <is>
          <t>EMC</t>
        </is>
      </c>
      <c r="B12" t="n">
        <v>7</v>
      </c>
      <c r="C12" s="57">
        <f>'假设'!E6</f>
        <v/>
      </c>
      <c r="D12" s="57">
        <f>'假设'!F6</f>
        <v/>
      </c>
      <c r="E12" s="57">
        <f>'假设'!G6</f>
        <v/>
      </c>
      <c r="F12" s="57">
        <f>'假设'!H6</f>
        <v/>
      </c>
      <c r="G12" s="57">
        <f>'EMC模式'!H12</f>
        <v/>
      </c>
      <c r="H12" s="57">
        <f>G12-'EMC模式'!H12</f>
        <v/>
      </c>
      <c r="I12" s="57">
        <f>'EMC模式'!K13</f>
        <v/>
      </c>
      <c r="J12" s="57">
        <f>'EMC模式'!L13</f>
        <v/>
      </c>
      <c r="K12" s="57">
        <f>'EMC模式'!M13</f>
        <v/>
      </c>
      <c r="L12" s="57">
        <f>'EMC模式'!N13</f>
        <v/>
      </c>
      <c r="M12" s="57">
        <f>I12-J12-K12+L12</f>
        <v/>
      </c>
      <c r="N12" s="57">
        <f>I12-'EMC模式'!K13</f>
        <v/>
      </c>
      <c r="O12" s="57">
        <f>J12-'EMC模式'!L13</f>
        <v/>
      </c>
      <c r="P12" s="57">
        <f>L12-'EMC模式'!N13</f>
        <v/>
      </c>
      <c r="Q12" s="57">
        <f>M12-('EMC模式'!K13-'EMC模式'!L13-'EMC模式'!M13+'EMC模式'!N13)</f>
        <v/>
      </c>
      <c r="R12" s="22" t="inlineStr">
        <is>
          <t>EMC作为基准模式：业主自付电费+运维，服务方主要赚节能服务费</t>
        </is>
      </c>
    </row>
    <row r="13" ht="22" customHeight="1" s="32">
      <c r="A13" t="inlineStr">
        <is>
          <t>EMC</t>
        </is>
      </c>
      <c r="B13" t="n">
        <v>8</v>
      </c>
      <c r="C13" s="57">
        <f>'假设'!E6</f>
        <v/>
      </c>
      <c r="D13" s="57">
        <f>'假设'!F6</f>
        <v/>
      </c>
      <c r="E13" s="57">
        <f>'假设'!G6</f>
        <v/>
      </c>
      <c r="F13" s="57">
        <f>'假设'!H6</f>
        <v/>
      </c>
      <c r="G13" s="57">
        <f>'EMC模式'!H13</f>
        <v/>
      </c>
      <c r="H13" s="57">
        <f>G13-'EMC模式'!H13</f>
        <v/>
      </c>
      <c r="I13" s="57">
        <f>'EMC模式'!K14</f>
        <v/>
      </c>
      <c r="J13" s="57">
        <f>'EMC模式'!L14</f>
        <v/>
      </c>
      <c r="K13" s="57">
        <f>'EMC模式'!M14</f>
        <v/>
      </c>
      <c r="L13" s="57">
        <f>'EMC模式'!N14</f>
        <v/>
      </c>
      <c r="M13" s="57">
        <f>I13-J13-K13+L13</f>
        <v/>
      </c>
      <c r="N13" s="57">
        <f>I13-'EMC模式'!K14</f>
        <v/>
      </c>
      <c r="O13" s="57">
        <f>J13-'EMC模式'!L14</f>
        <v/>
      </c>
      <c r="P13" s="57">
        <f>L13-'EMC模式'!N14</f>
        <v/>
      </c>
      <c r="Q13" s="57">
        <f>M13-('EMC模式'!K14-'EMC模式'!L14-'EMC模式'!M14+'EMC模式'!N14)</f>
        <v/>
      </c>
      <c r="R13" s="22" t="inlineStr">
        <is>
          <t>EMC作为基准模式：业主自付电费+运维，服务方主要赚节能服务费</t>
        </is>
      </c>
    </row>
    <row r="14" ht="22" customHeight="1" s="32">
      <c r="A14" t="inlineStr">
        <is>
          <t>EMC</t>
        </is>
      </c>
      <c r="B14" t="n">
        <v>9</v>
      </c>
      <c r="C14" s="57">
        <f>'假设'!E6</f>
        <v/>
      </c>
      <c r="D14" s="57">
        <f>'假设'!F6</f>
        <v/>
      </c>
      <c r="E14" s="57">
        <f>'假设'!G6</f>
        <v/>
      </c>
      <c r="F14" s="57">
        <f>'假设'!H6</f>
        <v/>
      </c>
      <c r="G14" s="57">
        <f>'EMC模式'!H14</f>
        <v/>
      </c>
      <c r="H14" s="57">
        <f>G14-'EMC模式'!H14</f>
        <v/>
      </c>
      <c r="I14" s="57">
        <f>'EMC模式'!K15</f>
        <v/>
      </c>
      <c r="J14" s="57">
        <f>'EMC模式'!L15</f>
        <v/>
      </c>
      <c r="K14" s="57">
        <f>'EMC模式'!M15</f>
        <v/>
      </c>
      <c r="L14" s="57">
        <f>'EMC模式'!N15</f>
        <v/>
      </c>
      <c r="M14" s="57">
        <f>I14-J14-K14+L14</f>
        <v/>
      </c>
      <c r="N14" s="57">
        <f>I14-'EMC模式'!K15</f>
        <v/>
      </c>
      <c r="O14" s="57">
        <f>J14-'EMC模式'!L15</f>
        <v/>
      </c>
      <c r="P14" s="57">
        <f>L14-'EMC模式'!N15</f>
        <v/>
      </c>
      <c r="Q14" s="57">
        <f>M14-('EMC模式'!K15-'EMC模式'!L15-'EMC模式'!M15+'EMC模式'!N15)</f>
        <v/>
      </c>
      <c r="R14" s="22" t="inlineStr">
        <is>
          <t>EMC作为基准模式：业主自付电费+运维，服务方主要赚节能服务费</t>
        </is>
      </c>
    </row>
    <row r="15" ht="22" customHeight="1" s="32">
      <c r="A15" t="inlineStr">
        <is>
          <t>EMC</t>
        </is>
      </c>
      <c r="B15" t="n">
        <v>10</v>
      </c>
      <c r="C15" s="57">
        <f>'假设'!E6</f>
        <v/>
      </c>
      <c r="D15" s="57">
        <f>'假设'!F6</f>
        <v/>
      </c>
      <c r="E15" s="57">
        <f>'假设'!G6</f>
        <v/>
      </c>
      <c r="F15" s="57">
        <f>'假设'!H6</f>
        <v/>
      </c>
      <c r="G15" s="57">
        <f>'EMC模式'!H15</f>
        <v/>
      </c>
      <c r="H15" s="57">
        <f>G15-'EMC模式'!H15</f>
        <v/>
      </c>
      <c r="I15" s="57">
        <f>'EMC模式'!K16</f>
        <v/>
      </c>
      <c r="J15" s="57">
        <f>'EMC模式'!L16</f>
        <v/>
      </c>
      <c r="K15" s="57">
        <f>'EMC模式'!M16</f>
        <v/>
      </c>
      <c r="L15" s="57">
        <f>'EMC模式'!N16</f>
        <v/>
      </c>
      <c r="M15" s="57">
        <f>I15-J15-K15+L15</f>
        <v/>
      </c>
      <c r="N15" s="57">
        <f>I15-'EMC模式'!K16</f>
        <v/>
      </c>
      <c r="O15" s="57">
        <f>J15-'EMC模式'!L16</f>
        <v/>
      </c>
      <c r="P15" s="57">
        <f>L15-'EMC模式'!N16</f>
        <v/>
      </c>
      <c r="Q15" s="57">
        <f>M15-('EMC模式'!K16-'EMC模式'!L16-'EMC模式'!M16+'EMC模式'!N16)</f>
        <v/>
      </c>
      <c r="R15" s="22" t="inlineStr">
        <is>
          <t>第10年含终值/残值归属；本模式下终值归甲方，因此甲方收益高于LaaS</t>
        </is>
      </c>
    </row>
    <row r="16" ht="22" customHeight="1" s="32">
      <c r="A16" t="inlineStr">
        <is>
          <t>能源托管</t>
        </is>
      </c>
      <c r="B16" t="n">
        <v>1</v>
      </c>
      <c r="C16" s="57">
        <f>'假设'!E7</f>
        <v/>
      </c>
      <c r="D16" s="57">
        <f>'假设'!F7</f>
        <v/>
      </c>
      <c r="E16" s="57">
        <f>'假设'!G7</f>
        <v/>
      </c>
      <c r="F16" s="57">
        <f>'假设'!H7</f>
        <v/>
      </c>
      <c r="G16" s="57">
        <f>'能源托管模式'!H6</f>
        <v/>
      </c>
      <c r="H16" s="57">
        <f>G16-'EMC模式'!H6</f>
        <v/>
      </c>
      <c r="I16" s="57">
        <f>'能源托管模式'!K7</f>
        <v/>
      </c>
      <c r="J16" s="57">
        <f>'能源托管模式'!L7</f>
        <v/>
      </c>
      <c r="K16" s="57">
        <f>'能源托管模式'!M7</f>
        <v/>
      </c>
      <c r="L16" s="57">
        <f>'能源托管模式'!N7</f>
        <v/>
      </c>
      <c r="M16" s="57">
        <f>I16-J16-K16+L16</f>
        <v/>
      </c>
      <c r="N16" s="57">
        <f>I16-'EMC模式'!K7</f>
        <v/>
      </c>
      <c r="O16" s="57">
        <f>J16-'EMC模式'!L7</f>
        <v/>
      </c>
      <c r="P16" s="57">
        <f>L16-'EMC模式'!N7</f>
        <v/>
      </c>
      <c r="Q16" s="57">
        <f>M16-('EMC模式'!K7-'EMC模式'!L7-'EMC模式'!M7+'EMC模式'!N7)</f>
        <v/>
      </c>
      <c r="R16" s="22" t="inlineStr">
        <is>
          <t>业主不再单列电费和运维，全部并入托管费；服务方收入更高，但同时承担电费与运维</t>
        </is>
      </c>
    </row>
    <row r="17" ht="22" customHeight="1" s="32">
      <c r="A17" t="inlineStr">
        <is>
          <t>能源托管</t>
        </is>
      </c>
      <c r="B17" t="n">
        <v>2</v>
      </c>
      <c r="C17" s="57">
        <f>'假设'!E7</f>
        <v/>
      </c>
      <c r="D17" s="57">
        <f>'假设'!F7</f>
        <v/>
      </c>
      <c r="E17" s="57">
        <f>'假设'!G7</f>
        <v/>
      </c>
      <c r="F17" s="57">
        <f>'假设'!H7</f>
        <v/>
      </c>
      <c r="G17" s="57">
        <f>'能源托管模式'!H7</f>
        <v/>
      </c>
      <c r="H17" s="57">
        <f>G17-'EMC模式'!H7</f>
        <v/>
      </c>
      <c r="I17" s="57">
        <f>'能源托管模式'!K8</f>
        <v/>
      </c>
      <c r="J17" s="57">
        <f>'能源托管模式'!L8</f>
        <v/>
      </c>
      <c r="K17" s="57">
        <f>'能源托管模式'!M8</f>
        <v/>
      </c>
      <c r="L17" s="57">
        <f>'能源托管模式'!N8</f>
        <v/>
      </c>
      <c r="M17" s="57">
        <f>I17-J17-K17+L17</f>
        <v/>
      </c>
      <c r="N17" s="57">
        <f>I17-'EMC模式'!K8</f>
        <v/>
      </c>
      <c r="O17" s="57">
        <f>J17-'EMC模式'!L8</f>
        <v/>
      </c>
      <c r="P17" s="57">
        <f>L17-'EMC模式'!N8</f>
        <v/>
      </c>
      <c r="Q17" s="57">
        <f>M17-('EMC模式'!K8-'EMC模式'!L8-'EMC模式'!M8+'EMC模式'!N8)</f>
        <v/>
      </c>
      <c r="R17" s="22" t="inlineStr">
        <is>
          <t>业主不再单列电费和运维，全部并入托管费；服务方收入更高，但同时承担电费与运维</t>
        </is>
      </c>
    </row>
    <row r="18" ht="22" customHeight="1" s="32">
      <c r="A18" t="inlineStr">
        <is>
          <t>能源托管</t>
        </is>
      </c>
      <c r="B18" t="n">
        <v>3</v>
      </c>
      <c r="C18" s="57">
        <f>'假设'!E7</f>
        <v/>
      </c>
      <c r="D18" s="57">
        <f>'假设'!F7</f>
        <v/>
      </c>
      <c r="E18" s="57">
        <f>'假设'!G7</f>
        <v/>
      </c>
      <c r="F18" s="57">
        <f>'假设'!H7</f>
        <v/>
      </c>
      <c r="G18" s="57">
        <f>'能源托管模式'!H8</f>
        <v/>
      </c>
      <c r="H18" s="57">
        <f>G18-'EMC模式'!H8</f>
        <v/>
      </c>
      <c r="I18" s="57">
        <f>'能源托管模式'!K9</f>
        <v/>
      </c>
      <c r="J18" s="57">
        <f>'能源托管模式'!L9</f>
        <v/>
      </c>
      <c r="K18" s="57">
        <f>'能源托管模式'!M9</f>
        <v/>
      </c>
      <c r="L18" s="57">
        <f>'能源托管模式'!N9</f>
        <v/>
      </c>
      <c r="M18" s="57">
        <f>I18-J18-K18+L18</f>
        <v/>
      </c>
      <c r="N18" s="57">
        <f>I18-'EMC模式'!K9</f>
        <v/>
      </c>
      <c r="O18" s="57">
        <f>J18-'EMC模式'!L9</f>
        <v/>
      </c>
      <c r="P18" s="57">
        <f>L18-'EMC模式'!N9</f>
        <v/>
      </c>
      <c r="Q18" s="57">
        <f>M18-('EMC模式'!K9-'EMC模式'!L9-'EMC模式'!M9+'EMC模式'!N9)</f>
        <v/>
      </c>
      <c r="R18" s="22" t="inlineStr">
        <is>
          <t>业主不再单列电费和运维，全部并入托管费；服务方收入更高，但同时承担电费与运维</t>
        </is>
      </c>
    </row>
    <row r="19" ht="22" customHeight="1" s="32">
      <c r="A19" t="inlineStr">
        <is>
          <t>能源托管</t>
        </is>
      </c>
      <c r="B19" t="n">
        <v>4</v>
      </c>
      <c r="C19" s="57">
        <f>'假设'!E7</f>
        <v/>
      </c>
      <c r="D19" s="57">
        <f>'假设'!F7</f>
        <v/>
      </c>
      <c r="E19" s="57">
        <f>'假设'!G7</f>
        <v/>
      </c>
      <c r="F19" s="57">
        <f>'假设'!H7</f>
        <v/>
      </c>
      <c r="G19" s="57">
        <f>'能源托管模式'!H9</f>
        <v/>
      </c>
      <c r="H19" s="57">
        <f>G19-'EMC模式'!H9</f>
        <v/>
      </c>
      <c r="I19" s="57">
        <f>'能源托管模式'!K10</f>
        <v/>
      </c>
      <c r="J19" s="57">
        <f>'能源托管模式'!L10</f>
        <v/>
      </c>
      <c r="K19" s="57">
        <f>'能源托管模式'!M10</f>
        <v/>
      </c>
      <c r="L19" s="57">
        <f>'能源托管模式'!N10</f>
        <v/>
      </c>
      <c r="M19" s="57">
        <f>I19-J19-K19+L19</f>
        <v/>
      </c>
      <c r="N19" s="57">
        <f>I19-'EMC模式'!K10</f>
        <v/>
      </c>
      <c r="O19" s="57">
        <f>J19-'EMC模式'!L10</f>
        <v/>
      </c>
      <c r="P19" s="57">
        <f>L19-'EMC模式'!N10</f>
        <v/>
      </c>
      <c r="Q19" s="57">
        <f>M19-('EMC模式'!K10-'EMC模式'!L10-'EMC模式'!M10+'EMC模式'!N10)</f>
        <v/>
      </c>
      <c r="R19" s="22" t="inlineStr">
        <is>
          <t>业主不再单列电费和运维，全部并入托管费；服务方收入更高，但同时承担电费与运维</t>
        </is>
      </c>
    </row>
    <row r="20" ht="22" customHeight="1" s="32">
      <c r="A20" t="inlineStr">
        <is>
          <t>能源托管</t>
        </is>
      </c>
      <c r="B20" t="n">
        <v>5</v>
      </c>
      <c r="C20" s="57">
        <f>'假设'!E7</f>
        <v/>
      </c>
      <c r="D20" s="57">
        <f>'假设'!F7</f>
        <v/>
      </c>
      <c r="E20" s="57">
        <f>'假设'!G7</f>
        <v/>
      </c>
      <c r="F20" s="57">
        <f>'假设'!H7</f>
        <v/>
      </c>
      <c r="G20" s="57">
        <f>'能源托管模式'!H10</f>
        <v/>
      </c>
      <c r="H20" s="57">
        <f>G20-'EMC模式'!H10</f>
        <v/>
      </c>
      <c r="I20" s="57">
        <f>'能源托管模式'!K11</f>
        <v/>
      </c>
      <c r="J20" s="57">
        <f>'能源托管模式'!L11</f>
        <v/>
      </c>
      <c r="K20" s="57">
        <f>'能源托管模式'!M11</f>
        <v/>
      </c>
      <c r="L20" s="57">
        <f>'能源托管模式'!N11</f>
        <v/>
      </c>
      <c r="M20" s="57">
        <f>I20-J20-K20+L20</f>
        <v/>
      </c>
      <c r="N20" s="57">
        <f>I20-'EMC模式'!K11</f>
        <v/>
      </c>
      <c r="O20" s="57">
        <f>J20-'EMC模式'!L11</f>
        <v/>
      </c>
      <c r="P20" s="57">
        <f>L20-'EMC模式'!N11</f>
        <v/>
      </c>
      <c r="Q20" s="57">
        <f>M20-('EMC模式'!K11-'EMC模式'!L11-'EMC模式'!M11+'EMC模式'!N11)</f>
        <v/>
      </c>
      <c r="R20" s="22" t="inlineStr">
        <is>
          <t>业主不再单列电费和运维，全部并入托管费；服务方收入更高，但同时承担电费与运维</t>
        </is>
      </c>
    </row>
    <row r="21" ht="22" customHeight="1" s="32">
      <c r="A21" t="inlineStr">
        <is>
          <t>能源托管</t>
        </is>
      </c>
      <c r="B21" t="n">
        <v>6</v>
      </c>
      <c r="C21" s="57">
        <f>'假设'!E7</f>
        <v/>
      </c>
      <c r="D21" s="57">
        <f>'假设'!F7</f>
        <v/>
      </c>
      <c r="E21" s="57">
        <f>'假设'!G7</f>
        <v/>
      </c>
      <c r="F21" s="57">
        <f>'假设'!H7</f>
        <v/>
      </c>
      <c r="G21" s="57">
        <f>'能源托管模式'!H11</f>
        <v/>
      </c>
      <c r="H21" s="57">
        <f>G21-'EMC模式'!H11</f>
        <v/>
      </c>
      <c r="I21" s="57">
        <f>'能源托管模式'!K12</f>
        <v/>
      </c>
      <c r="J21" s="57">
        <f>'能源托管模式'!L12</f>
        <v/>
      </c>
      <c r="K21" s="57">
        <f>'能源托管模式'!M12</f>
        <v/>
      </c>
      <c r="L21" s="57">
        <f>'能源托管模式'!N12</f>
        <v/>
      </c>
      <c r="M21" s="57">
        <f>I21-J21-K21+L21</f>
        <v/>
      </c>
      <c r="N21" s="57">
        <f>I21-'EMC模式'!K12</f>
        <v/>
      </c>
      <c r="O21" s="57">
        <f>J21-'EMC模式'!L12</f>
        <v/>
      </c>
      <c r="P21" s="57">
        <f>L21-'EMC模式'!N12</f>
        <v/>
      </c>
      <c r="Q21" s="57">
        <f>M21-('EMC模式'!K12-'EMC模式'!L12-'EMC模式'!M12+'EMC模式'!N12)</f>
        <v/>
      </c>
      <c r="R21" s="22" t="inlineStr">
        <is>
          <t>业主不再单列电费和运维，全部并入托管费；服务方收入更高，但同时承担电费与运维</t>
        </is>
      </c>
    </row>
    <row r="22" ht="22" customHeight="1" s="32">
      <c r="A22" t="inlineStr">
        <is>
          <t>能源托管</t>
        </is>
      </c>
      <c r="B22" t="n">
        <v>7</v>
      </c>
      <c r="C22" s="57">
        <f>'假设'!E7</f>
        <v/>
      </c>
      <c r="D22" s="57">
        <f>'假设'!F7</f>
        <v/>
      </c>
      <c r="E22" s="57">
        <f>'假设'!G7</f>
        <v/>
      </c>
      <c r="F22" s="57">
        <f>'假设'!H7</f>
        <v/>
      </c>
      <c r="G22" s="57">
        <f>'能源托管模式'!H12</f>
        <v/>
      </c>
      <c r="H22" s="57">
        <f>G22-'EMC模式'!H12</f>
        <v/>
      </c>
      <c r="I22" s="57">
        <f>'能源托管模式'!K13</f>
        <v/>
      </c>
      <c r="J22" s="57">
        <f>'能源托管模式'!L13</f>
        <v/>
      </c>
      <c r="K22" s="57">
        <f>'能源托管模式'!M13</f>
        <v/>
      </c>
      <c r="L22" s="57">
        <f>'能源托管模式'!N13</f>
        <v/>
      </c>
      <c r="M22" s="57">
        <f>I22-J22-K22+L22</f>
        <v/>
      </c>
      <c r="N22" s="57">
        <f>I22-'EMC模式'!K13</f>
        <v/>
      </c>
      <c r="O22" s="57">
        <f>J22-'EMC模式'!L13</f>
        <v/>
      </c>
      <c r="P22" s="57">
        <f>L22-'EMC模式'!N13</f>
        <v/>
      </c>
      <c r="Q22" s="57">
        <f>M22-('EMC模式'!K13-'EMC模式'!L13-'EMC模式'!M13+'EMC模式'!N13)</f>
        <v/>
      </c>
      <c r="R22" s="22" t="inlineStr">
        <is>
          <t>业主不再单列电费和运维，全部并入托管费；服务方收入更高，但同时承担电费与运维</t>
        </is>
      </c>
    </row>
    <row r="23" ht="22" customHeight="1" s="32">
      <c r="A23" t="inlineStr">
        <is>
          <t>能源托管</t>
        </is>
      </c>
      <c r="B23" t="n">
        <v>8</v>
      </c>
      <c r="C23" s="57">
        <f>'假设'!E7</f>
        <v/>
      </c>
      <c r="D23" s="57">
        <f>'假设'!F7</f>
        <v/>
      </c>
      <c r="E23" s="57">
        <f>'假设'!G7</f>
        <v/>
      </c>
      <c r="F23" s="57">
        <f>'假设'!H7</f>
        <v/>
      </c>
      <c r="G23" s="57">
        <f>'能源托管模式'!H13</f>
        <v/>
      </c>
      <c r="H23" s="57">
        <f>G23-'EMC模式'!H13</f>
        <v/>
      </c>
      <c r="I23" s="57">
        <f>'能源托管模式'!K14</f>
        <v/>
      </c>
      <c r="J23" s="57">
        <f>'能源托管模式'!L14</f>
        <v/>
      </c>
      <c r="K23" s="57">
        <f>'能源托管模式'!M14</f>
        <v/>
      </c>
      <c r="L23" s="57">
        <f>'能源托管模式'!N14</f>
        <v/>
      </c>
      <c r="M23" s="57">
        <f>I23-J23-K23+L23</f>
        <v/>
      </c>
      <c r="N23" s="57">
        <f>I23-'EMC模式'!K14</f>
        <v/>
      </c>
      <c r="O23" s="57">
        <f>J23-'EMC模式'!L14</f>
        <v/>
      </c>
      <c r="P23" s="57">
        <f>L23-'EMC模式'!N14</f>
        <v/>
      </c>
      <c r="Q23" s="57">
        <f>M23-('EMC模式'!K14-'EMC模式'!L14-'EMC模式'!M14+'EMC模式'!N14)</f>
        <v/>
      </c>
      <c r="R23" s="22" t="inlineStr">
        <is>
          <t>业主不再单列电费和运维，全部并入托管费；服务方收入更高，但同时承担电费与运维</t>
        </is>
      </c>
    </row>
    <row r="24" ht="22" customHeight="1" s="32">
      <c r="A24" t="inlineStr">
        <is>
          <t>能源托管</t>
        </is>
      </c>
      <c r="B24" t="n">
        <v>9</v>
      </c>
      <c r="C24" s="57">
        <f>'假设'!E7</f>
        <v/>
      </c>
      <c r="D24" s="57">
        <f>'假设'!F7</f>
        <v/>
      </c>
      <c r="E24" s="57">
        <f>'假设'!G7</f>
        <v/>
      </c>
      <c r="F24" s="57">
        <f>'假设'!H7</f>
        <v/>
      </c>
      <c r="G24" s="57">
        <f>'能源托管模式'!H14</f>
        <v/>
      </c>
      <c r="H24" s="57">
        <f>G24-'EMC模式'!H14</f>
        <v/>
      </c>
      <c r="I24" s="57">
        <f>'能源托管模式'!K15</f>
        <v/>
      </c>
      <c r="J24" s="57">
        <f>'能源托管模式'!L15</f>
        <v/>
      </c>
      <c r="K24" s="57">
        <f>'能源托管模式'!M15</f>
        <v/>
      </c>
      <c r="L24" s="57">
        <f>'能源托管模式'!N15</f>
        <v/>
      </c>
      <c r="M24" s="57">
        <f>I24-J24-K24+L24</f>
        <v/>
      </c>
      <c r="N24" s="57">
        <f>I24-'EMC模式'!K15</f>
        <v/>
      </c>
      <c r="O24" s="57">
        <f>J24-'EMC模式'!L15</f>
        <v/>
      </c>
      <c r="P24" s="57">
        <f>L24-'EMC模式'!N15</f>
        <v/>
      </c>
      <c r="Q24" s="57">
        <f>M24-('EMC模式'!K15-'EMC模式'!L15-'EMC模式'!M15+'EMC模式'!N15)</f>
        <v/>
      </c>
      <c r="R24" s="22" t="inlineStr">
        <is>
          <t>业主不再单列电费和运维，全部并入托管费；服务方收入更高，但同时承担电费与运维</t>
        </is>
      </c>
    </row>
    <row r="25" ht="22" customHeight="1" s="32">
      <c r="A25" t="inlineStr">
        <is>
          <t>能源托管</t>
        </is>
      </c>
      <c r="B25" t="n">
        <v>10</v>
      </c>
      <c r="C25" s="57">
        <f>'假设'!E7</f>
        <v/>
      </c>
      <c r="D25" s="57">
        <f>'假设'!F7</f>
        <v/>
      </c>
      <c r="E25" s="57">
        <f>'假设'!G7</f>
        <v/>
      </c>
      <c r="F25" s="57">
        <f>'假设'!H7</f>
        <v/>
      </c>
      <c r="G25" s="57">
        <f>'能源托管模式'!H15</f>
        <v/>
      </c>
      <c r="H25" s="57">
        <f>G25-'EMC模式'!H15</f>
        <v/>
      </c>
      <c r="I25" s="57">
        <f>'能源托管模式'!K16</f>
        <v/>
      </c>
      <c r="J25" s="57">
        <f>'能源托管模式'!L16</f>
        <v/>
      </c>
      <c r="K25" s="57">
        <f>'能源托管模式'!M16</f>
        <v/>
      </c>
      <c r="L25" s="57">
        <f>'能源托管模式'!N16</f>
        <v/>
      </c>
      <c r="M25" s="57">
        <f>I25-J25-K25+L25</f>
        <v/>
      </c>
      <c r="N25" s="57">
        <f>I25-'EMC模式'!K16</f>
        <v/>
      </c>
      <c r="O25" s="57">
        <f>J25-'EMC模式'!L16</f>
        <v/>
      </c>
      <c r="P25" s="57">
        <f>L25-'EMC模式'!N16</f>
        <v/>
      </c>
      <c r="Q25" s="57">
        <f>M25-('EMC模式'!K16-'EMC模式'!L16-'EMC模式'!M16+'EMC模式'!N16)</f>
        <v/>
      </c>
      <c r="R25" s="22" t="inlineStr">
        <is>
          <t>第10年含终值/残值归属；本模式下终值归甲方，因此甲方收益高于LaaS</t>
        </is>
      </c>
    </row>
    <row r="26" ht="22" customHeight="1" s="32">
      <c r="A26" t="inlineStr">
        <is>
          <t>LaaS</t>
        </is>
      </c>
      <c r="B26" t="n">
        <v>1</v>
      </c>
      <c r="C26" s="57">
        <f>'假设'!E8</f>
        <v/>
      </c>
      <c r="D26" s="57">
        <f>'假设'!F8</f>
        <v/>
      </c>
      <c r="E26" s="57">
        <f>'假设'!G8</f>
        <v/>
      </c>
      <c r="F26" s="57">
        <f>'假设'!H8</f>
        <v/>
      </c>
      <c r="G26" s="57">
        <f>'LaaS模式'!H6</f>
        <v/>
      </c>
      <c r="H26" s="57">
        <f>G26-'EMC模式'!H6</f>
        <v/>
      </c>
      <c r="I26" s="57">
        <f>'LaaS模式'!K7</f>
        <v/>
      </c>
      <c r="J26" s="57">
        <f>'LaaS模式'!L7</f>
        <v/>
      </c>
      <c r="K26" s="57">
        <f>'LaaS模式'!M7</f>
        <v/>
      </c>
      <c r="L26" s="57">
        <f>'LaaS模式'!N7</f>
        <v/>
      </c>
      <c r="M26" s="57">
        <f>I26-J26-K26+L26</f>
        <v/>
      </c>
      <c r="N26" s="57">
        <f>I26-'EMC模式'!K7</f>
        <v/>
      </c>
      <c r="O26" s="57">
        <f>J26-'EMC模式'!L7</f>
        <v/>
      </c>
      <c r="P26" s="57">
        <f>L26-'EMC模式'!N7</f>
        <v/>
      </c>
      <c r="Q26" s="57">
        <f>M26-('EMC模式'!K7-'EMC模式'!L7-'EMC模式'!M7+'EMC模式'!N7)</f>
        <v/>
      </c>
      <c r="R26" s="22" t="inlineStr">
        <is>
          <t>前9年差异主要来自订阅费更高且服务方承担运维；第10年再叠加残值归服务方、甲方无终值</t>
        </is>
      </c>
    </row>
    <row r="27" ht="22" customHeight="1" s="32">
      <c r="A27" t="inlineStr">
        <is>
          <t>LaaS</t>
        </is>
      </c>
      <c r="B27" t="n">
        <v>2</v>
      </c>
      <c r="C27" s="57">
        <f>'假设'!E8</f>
        <v/>
      </c>
      <c r="D27" s="57">
        <f>'假设'!F8</f>
        <v/>
      </c>
      <c r="E27" s="57">
        <f>'假设'!G8</f>
        <v/>
      </c>
      <c r="F27" s="57">
        <f>'假设'!H8</f>
        <v/>
      </c>
      <c r="G27" s="57">
        <f>'LaaS模式'!H7</f>
        <v/>
      </c>
      <c r="H27" s="57">
        <f>G27-'EMC模式'!H7</f>
        <v/>
      </c>
      <c r="I27" s="57">
        <f>'LaaS模式'!K8</f>
        <v/>
      </c>
      <c r="J27" s="57">
        <f>'LaaS模式'!L8</f>
        <v/>
      </c>
      <c r="K27" s="57">
        <f>'LaaS模式'!M8</f>
        <v/>
      </c>
      <c r="L27" s="57">
        <f>'LaaS模式'!N8</f>
        <v/>
      </c>
      <c r="M27" s="57">
        <f>I27-J27-K27+L27</f>
        <v/>
      </c>
      <c r="N27" s="57">
        <f>I27-'EMC模式'!K8</f>
        <v/>
      </c>
      <c r="O27" s="57">
        <f>J27-'EMC模式'!L8</f>
        <v/>
      </c>
      <c r="P27" s="57">
        <f>L27-'EMC模式'!N8</f>
        <v/>
      </c>
      <c r="Q27" s="57">
        <f>M27-('EMC模式'!K8-'EMC模式'!L8-'EMC模式'!M8+'EMC模式'!N8)</f>
        <v/>
      </c>
      <c r="R27" s="22" t="inlineStr">
        <is>
          <t>前9年差异主要来自订阅费更高且服务方承担运维；第10年再叠加残值归服务方、甲方无终值</t>
        </is>
      </c>
    </row>
    <row r="28" ht="22" customHeight="1" s="32">
      <c r="A28" t="inlineStr">
        <is>
          <t>LaaS</t>
        </is>
      </c>
      <c r="B28" t="n">
        <v>3</v>
      </c>
      <c r="C28" s="57">
        <f>'假设'!E8</f>
        <v/>
      </c>
      <c r="D28" s="57">
        <f>'假设'!F8</f>
        <v/>
      </c>
      <c r="E28" s="57">
        <f>'假设'!G8</f>
        <v/>
      </c>
      <c r="F28" s="57">
        <f>'假设'!H8</f>
        <v/>
      </c>
      <c r="G28" s="57">
        <f>'LaaS模式'!H8</f>
        <v/>
      </c>
      <c r="H28" s="57">
        <f>G28-'EMC模式'!H8</f>
        <v/>
      </c>
      <c r="I28" s="57">
        <f>'LaaS模式'!K9</f>
        <v/>
      </c>
      <c r="J28" s="57">
        <f>'LaaS模式'!L9</f>
        <v/>
      </c>
      <c r="K28" s="57">
        <f>'LaaS模式'!M9</f>
        <v/>
      </c>
      <c r="L28" s="57">
        <f>'LaaS模式'!N9</f>
        <v/>
      </c>
      <c r="M28" s="57">
        <f>I28-J28-K28+L28</f>
        <v/>
      </c>
      <c r="N28" s="57">
        <f>I28-'EMC模式'!K9</f>
        <v/>
      </c>
      <c r="O28" s="57">
        <f>J28-'EMC模式'!L9</f>
        <v/>
      </c>
      <c r="P28" s="57">
        <f>L28-'EMC模式'!N9</f>
        <v/>
      </c>
      <c r="Q28" s="57">
        <f>M28-('EMC模式'!K9-'EMC模式'!L9-'EMC模式'!M9+'EMC模式'!N9)</f>
        <v/>
      </c>
      <c r="R28" s="22" t="inlineStr">
        <is>
          <t>前9年差异主要来自订阅费更高且服务方承担运维；第10年再叠加残值归服务方、甲方无终值</t>
        </is>
      </c>
    </row>
    <row r="29" ht="22" customHeight="1" s="32">
      <c r="A29" t="inlineStr">
        <is>
          <t>LaaS</t>
        </is>
      </c>
      <c r="B29" t="n">
        <v>4</v>
      </c>
      <c r="C29" s="57">
        <f>'假设'!E8</f>
        <v/>
      </c>
      <c r="D29" s="57">
        <f>'假设'!F8</f>
        <v/>
      </c>
      <c r="E29" s="57">
        <f>'假设'!G8</f>
        <v/>
      </c>
      <c r="F29" s="57">
        <f>'假设'!H8</f>
        <v/>
      </c>
      <c r="G29" s="57">
        <f>'LaaS模式'!H9</f>
        <v/>
      </c>
      <c r="H29" s="57">
        <f>G29-'EMC模式'!H9</f>
        <v/>
      </c>
      <c r="I29" s="57">
        <f>'LaaS模式'!K10</f>
        <v/>
      </c>
      <c r="J29" s="57">
        <f>'LaaS模式'!L10</f>
        <v/>
      </c>
      <c r="K29" s="57">
        <f>'LaaS模式'!M10</f>
        <v/>
      </c>
      <c r="L29" s="57">
        <f>'LaaS模式'!N10</f>
        <v/>
      </c>
      <c r="M29" s="57">
        <f>I29-J29-K29+L29</f>
        <v/>
      </c>
      <c r="N29" s="57">
        <f>I29-'EMC模式'!K10</f>
        <v/>
      </c>
      <c r="O29" s="57">
        <f>J29-'EMC模式'!L10</f>
        <v/>
      </c>
      <c r="P29" s="57">
        <f>L29-'EMC模式'!N10</f>
        <v/>
      </c>
      <c r="Q29" s="57">
        <f>M29-('EMC模式'!K10-'EMC模式'!L10-'EMC模式'!M10+'EMC模式'!N10)</f>
        <v/>
      </c>
      <c r="R29" s="22" t="inlineStr">
        <is>
          <t>前9年差异主要来自订阅费更高且服务方承担运维；第10年再叠加残值归服务方、甲方无终值</t>
        </is>
      </c>
    </row>
    <row r="30" ht="22" customHeight="1" s="32">
      <c r="A30" t="inlineStr">
        <is>
          <t>LaaS</t>
        </is>
      </c>
      <c r="B30" t="n">
        <v>5</v>
      </c>
      <c r="C30" s="57">
        <f>'假设'!E8</f>
        <v/>
      </c>
      <c r="D30" s="57">
        <f>'假设'!F8</f>
        <v/>
      </c>
      <c r="E30" s="57">
        <f>'假设'!G8</f>
        <v/>
      </c>
      <c r="F30" s="57">
        <f>'假设'!H8</f>
        <v/>
      </c>
      <c r="G30" s="57">
        <f>'LaaS模式'!H10</f>
        <v/>
      </c>
      <c r="H30" s="57">
        <f>G30-'EMC模式'!H10</f>
        <v/>
      </c>
      <c r="I30" s="57">
        <f>'LaaS模式'!K11</f>
        <v/>
      </c>
      <c r="J30" s="57">
        <f>'LaaS模式'!L11</f>
        <v/>
      </c>
      <c r="K30" s="57">
        <f>'LaaS模式'!M11</f>
        <v/>
      </c>
      <c r="L30" s="57">
        <f>'LaaS模式'!N11</f>
        <v/>
      </c>
      <c r="M30" s="57">
        <f>I30-J30-K30+L30</f>
        <v/>
      </c>
      <c r="N30" s="57">
        <f>I30-'EMC模式'!K11</f>
        <v/>
      </c>
      <c r="O30" s="57">
        <f>J30-'EMC模式'!L11</f>
        <v/>
      </c>
      <c r="P30" s="57">
        <f>L30-'EMC模式'!N11</f>
        <v/>
      </c>
      <c r="Q30" s="57">
        <f>M30-('EMC模式'!K11-'EMC模式'!L11-'EMC模式'!M11+'EMC模式'!N11)</f>
        <v/>
      </c>
      <c r="R30" s="22" t="inlineStr">
        <is>
          <t>前9年差异主要来自订阅费更高且服务方承担运维；第10年再叠加残值归服务方、甲方无终值</t>
        </is>
      </c>
    </row>
    <row r="31" ht="22" customHeight="1" s="32">
      <c r="A31" t="inlineStr">
        <is>
          <t>LaaS</t>
        </is>
      </c>
      <c r="B31" t="n">
        <v>6</v>
      </c>
      <c r="C31" s="57">
        <f>'假设'!E8</f>
        <v/>
      </c>
      <c r="D31" s="57">
        <f>'假设'!F8</f>
        <v/>
      </c>
      <c r="E31" s="57">
        <f>'假设'!G8</f>
        <v/>
      </c>
      <c r="F31" s="57">
        <f>'假设'!H8</f>
        <v/>
      </c>
      <c r="G31" s="57">
        <f>'LaaS模式'!H11</f>
        <v/>
      </c>
      <c r="H31" s="57">
        <f>G31-'EMC模式'!H11</f>
        <v/>
      </c>
      <c r="I31" s="57">
        <f>'LaaS模式'!K12</f>
        <v/>
      </c>
      <c r="J31" s="57">
        <f>'LaaS模式'!L12</f>
        <v/>
      </c>
      <c r="K31" s="57">
        <f>'LaaS模式'!M12</f>
        <v/>
      </c>
      <c r="L31" s="57">
        <f>'LaaS模式'!N12</f>
        <v/>
      </c>
      <c r="M31" s="57">
        <f>I31-J31-K31+L31</f>
        <v/>
      </c>
      <c r="N31" s="57">
        <f>I31-'EMC模式'!K12</f>
        <v/>
      </c>
      <c r="O31" s="57">
        <f>J31-'EMC模式'!L12</f>
        <v/>
      </c>
      <c r="P31" s="57">
        <f>L31-'EMC模式'!N12</f>
        <v/>
      </c>
      <c r="Q31" s="57">
        <f>M31-('EMC模式'!K12-'EMC模式'!L12-'EMC模式'!M12+'EMC模式'!N12)</f>
        <v/>
      </c>
      <c r="R31" s="22" t="inlineStr">
        <is>
          <t>前9年差异主要来自订阅费更高且服务方承担运维；第10年再叠加残值归服务方、甲方无终值</t>
        </is>
      </c>
    </row>
    <row r="32" ht="22" customHeight="1" s="32">
      <c r="A32" t="inlineStr">
        <is>
          <t>LaaS</t>
        </is>
      </c>
      <c r="B32" t="n">
        <v>7</v>
      </c>
      <c r="C32" s="57">
        <f>'假设'!E8</f>
        <v/>
      </c>
      <c r="D32" s="57">
        <f>'假设'!F8</f>
        <v/>
      </c>
      <c r="E32" s="57">
        <f>'假设'!G8</f>
        <v/>
      </c>
      <c r="F32" s="57">
        <f>'假设'!H8</f>
        <v/>
      </c>
      <c r="G32" s="57">
        <f>'LaaS模式'!H12</f>
        <v/>
      </c>
      <c r="H32" s="57">
        <f>G32-'EMC模式'!H12</f>
        <v/>
      </c>
      <c r="I32" s="57">
        <f>'LaaS模式'!K13</f>
        <v/>
      </c>
      <c r="J32" s="57">
        <f>'LaaS模式'!L13</f>
        <v/>
      </c>
      <c r="K32" s="57">
        <f>'LaaS模式'!M13</f>
        <v/>
      </c>
      <c r="L32" s="57">
        <f>'LaaS模式'!N13</f>
        <v/>
      </c>
      <c r="M32" s="57">
        <f>I32-J32-K32+L32</f>
        <v/>
      </c>
      <c r="N32" s="57">
        <f>I32-'EMC模式'!K13</f>
        <v/>
      </c>
      <c r="O32" s="57">
        <f>J32-'EMC模式'!L13</f>
        <v/>
      </c>
      <c r="P32" s="57">
        <f>L32-'EMC模式'!N13</f>
        <v/>
      </c>
      <c r="Q32" s="57">
        <f>M32-('EMC模式'!K13-'EMC模式'!L13-'EMC模式'!M13+'EMC模式'!N13)</f>
        <v/>
      </c>
      <c r="R32" s="22" t="inlineStr">
        <is>
          <t>前9年差异主要来自订阅费更高且服务方承担运维；第10年再叠加残值归服务方、甲方无终值</t>
        </is>
      </c>
    </row>
    <row r="33" ht="22" customHeight="1" s="32">
      <c r="A33" t="inlineStr">
        <is>
          <t>LaaS</t>
        </is>
      </c>
      <c r="B33" t="n">
        <v>8</v>
      </c>
      <c r="C33" s="57">
        <f>'假设'!E8</f>
        <v/>
      </c>
      <c r="D33" s="57">
        <f>'假设'!F8</f>
        <v/>
      </c>
      <c r="E33" s="57">
        <f>'假设'!G8</f>
        <v/>
      </c>
      <c r="F33" s="57">
        <f>'假设'!H8</f>
        <v/>
      </c>
      <c r="G33" s="57">
        <f>'LaaS模式'!H13</f>
        <v/>
      </c>
      <c r="H33" s="57">
        <f>G33-'EMC模式'!H13</f>
        <v/>
      </c>
      <c r="I33" s="57">
        <f>'LaaS模式'!K14</f>
        <v/>
      </c>
      <c r="J33" s="57">
        <f>'LaaS模式'!L14</f>
        <v/>
      </c>
      <c r="K33" s="57">
        <f>'LaaS模式'!M14</f>
        <v/>
      </c>
      <c r="L33" s="57">
        <f>'LaaS模式'!N14</f>
        <v/>
      </c>
      <c r="M33" s="57">
        <f>I33-J33-K33+L33</f>
        <v/>
      </c>
      <c r="N33" s="57">
        <f>I33-'EMC模式'!K14</f>
        <v/>
      </c>
      <c r="O33" s="57">
        <f>J33-'EMC模式'!L14</f>
        <v/>
      </c>
      <c r="P33" s="57">
        <f>L33-'EMC模式'!N14</f>
        <v/>
      </c>
      <c r="Q33" s="57">
        <f>M33-('EMC模式'!K14-'EMC模式'!L14-'EMC模式'!M14+'EMC模式'!N14)</f>
        <v/>
      </c>
      <c r="R33" s="22" t="inlineStr">
        <is>
          <t>前9年差异主要来自订阅费更高且服务方承担运维；第10年再叠加残值归服务方、甲方无终值</t>
        </is>
      </c>
    </row>
    <row r="34" ht="22" customHeight="1" s="32">
      <c r="A34" t="inlineStr">
        <is>
          <t>LaaS</t>
        </is>
      </c>
      <c r="B34" t="n">
        <v>9</v>
      </c>
      <c r="C34" s="57">
        <f>'假设'!E8</f>
        <v/>
      </c>
      <c r="D34" s="57">
        <f>'假设'!F8</f>
        <v/>
      </c>
      <c r="E34" s="57">
        <f>'假设'!G8</f>
        <v/>
      </c>
      <c r="F34" s="57">
        <f>'假设'!H8</f>
        <v/>
      </c>
      <c r="G34" s="57">
        <f>'LaaS模式'!H14</f>
        <v/>
      </c>
      <c r="H34" s="57">
        <f>G34-'EMC模式'!H14</f>
        <v/>
      </c>
      <c r="I34" s="57">
        <f>'LaaS模式'!K15</f>
        <v/>
      </c>
      <c r="J34" s="57">
        <f>'LaaS模式'!L15</f>
        <v/>
      </c>
      <c r="K34" s="57">
        <f>'LaaS模式'!M15</f>
        <v/>
      </c>
      <c r="L34" s="57">
        <f>'LaaS模式'!N15</f>
        <v/>
      </c>
      <c r="M34" s="57">
        <f>I34-J34-K34+L34</f>
        <v/>
      </c>
      <c r="N34" s="57">
        <f>I34-'EMC模式'!K15</f>
        <v/>
      </c>
      <c r="O34" s="57">
        <f>J34-'EMC模式'!L15</f>
        <v/>
      </c>
      <c r="P34" s="57">
        <f>L34-'EMC模式'!N15</f>
        <v/>
      </c>
      <c r="Q34" s="57">
        <f>M34-('EMC模式'!K15-'EMC模式'!L15-'EMC模式'!M15+'EMC模式'!N15)</f>
        <v/>
      </c>
      <c r="R34" s="22" t="inlineStr">
        <is>
          <t>前9年差异主要来自订阅费更高且服务方承担运维；第10年再叠加残值归服务方、甲方无终值</t>
        </is>
      </c>
    </row>
    <row r="35" ht="22" customHeight="1" s="32">
      <c r="A35" t="inlineStr">
        <is>
          <t>LaaS</t>
        </is>
      </c>
      <c r="B35" t="n">
        <v>10</v>
      </c>
      <c r="C35" s="57">
        <f>'假设'!E8</f>
        <v/>
      </c>
      <c r="D35" s="57">
        <f>'假设'!F8</f>
        <v/>
      </c>
      <c r="E35" s="57">
        <f>'假设'!G8</f>
        <v/>
      </c>
      <c r="F35" s="57">
        <f>'假设'!H8</f>
        <v/>
      </c>
      <c r="G35" s="57">
        <f>'LaaS模式'!H15</f>
        <v/>
      </c>
      <c r="H35" s="57">
        <f>G35-'EMC模式'!H15</f>
        <v/>
      </c>
      <c r="I35" s="57">
        <f>'LaaS模式'!K16</f>
        <v/>
      </c>
      <c r="J35" s="57">
        <f>'LaaS模式'!L16</f>
        <v/>
      </c>
      <c r="K35" s="57">
        <f>'LaaS模式'!M16</f>
        <v/>
      </c>
      <c r="L35" s="57">
        <f>'LaaS模式'!N16</f>
        <v/>
      </c>
      <c r="M35" s="57">
        <f>I35-J35-K35+L35</f>
        <v/>
      </c>
      <c r="N35" s="57">
        <f>I35-'EMC模式'!K16</f>
        <v/>
      </c>
      <c r="O35" s="57">
        <f>J35-'EMC模式'!L16</f>
        <v/>
      </c>
      <c r="P35" s="57">
        <f>L35-'EMC模式'!N16</f>
        <v/>
      </c>
      <c r="Q35" s="57">
        <f>M35-('EMC模式'!K16-'EMC模式'!L16-'EMC模式'!M16+'EMC模式'!N16)</f>
        <v/>
      </c>
      <c r="R35" s="22" t="inlineStr">
        <is>
          <t>第10年差异最大：LaaS多出服务方残值，同时甲方少了终值，因此服务方与甲方差异同时拉开</t>
        </is>
      </c>
    </row>
    <row r="36" ht="22" customHeight="1" s="32">
      <c r="A36" t="inlineStr">
        <is>
          <t>租赁</t>
        </is>
      </c>
      <c r="B36" t="n">
        <v>1</v>
      </c>
      <c r="C36" s="57">
        <f>'假设'!E9</f>
        <v/>
      </c>
      <c r="D36" s="57">
        <f>'假设'!F9</f>
        <v/>
      </c>
      <c r="E36" s="57">
        <f>'假设'!G9</f>
        <v/>
      </c>
      <c r="F36" s="57">
        <f>'假设'!H9</f>
        <v/>
      </c>
      <c r="G36" s="57">
        <f>'租赁模式'!H6</f>
        <v/>
      </c>
      <c r="H36" s="57">
        <f>G36-'EMC模式'!H6</f>
        <v/>
      </c>
      <c r="I36" s="57">
        <f>'租赁模式'!K7</f>
        <v/>
      </c>
      <c r="J36" s="57">
        <f>'租赁模式'!L7</f>
        <v/>
      </c>
      <c r="K36" s="57">
        <f>'租赁模式'!M7</f>
        <v/>
      </c>
      <c r="L36" s="57">
        <f>'租赁模式'!N7</f>
        <v/>
      </c>
      <c r="M36" s="57">
        <f>I36-J36-K36+L36</f>
        <v/>
      </c>
      <c r="N36" s="57">
        <f>I36-'EMC模式'!K7</f>
        <v/>
      </c>
      <c r="O36" s="57">
        <f>J36-'EMC模式'!L7</f>
        <v/>
      </c>
      <c r="P36" s="57">
        <f>L36-'EMC模式'!N7</f>
        <v/>
      </c>
      <c r="Q36" s="57">
        <f>M36-('EMC模式'!K7-'EMC模式'!L7-'EMC模式'!M7+'EMC模式'!N7)</f>
        <v/>
      </c>
      <c r="R36" s="22" t="inlineStr">
        <is>
          <t>业主仍自付电费和运维；服务方收入与EMC接近，但运维管理成本更低</t>
        </is>
      </c>
    </row>
    <row r="37" ht="22" customHeight="1" s="32">
      <c r="A37" t="inlineStr">
        <is>
          <t>租赁</t>
        </is>
      </c>
      <c r="B37" t="n">
        <v>2</v>
      </c>
      <c r="C37" s="57">
        <f>'假设'!E9</f>
        <v/>
      </c>
      <c r="D37" s="57">
        <f>'假设'!F9</f>
        <v/>
      </c>
      <c r="E37" s="57">
        <f>'假设'!G9</f>
        <v/>
      </c>
      <c r="F37" s="57">
        <f>'假设'!H9</f>
        <v/>
      </c>
      <c r="G37" s="57">
        <f>'租赁模式'!H7</f>
        <v/>
      </c>
      <c r="H37" s="57">
        <f>G37-'EMC模式'!H7</f>
        <v/>
      </c>
      <c r="I37" s="57">
        <f>'租赁模式'!K8</f>
        <v/>
      </c>
      <c r="J37" s="57">
        <f>'租赁模式'!L8</f>
        <v/>
      </c>
      <c r="K37" s="57">
        <f>'租赁模式'!M8</f>
        <v/>
      </c>
      <c r="L37" s="57">
        <f>'租赁模式'!N8</f>
        <v/>
      </c>
      <c r="M37" s="57">
        <f>I37-J37-K37+L37</f>
        <v/>
      </c>
      <c r="N37" s="57">
        <f>I37-'EMC模式'!K8</f>
        <v/>
      </c>
      <c r="O37" s="57">
        <f>J37-'EMC模式'!L8</f>
        <v/>
      </c>
      <c r="P37" s="57">
        <f>L37-'EMC模式'!N8</f>
        <v/>
      </c>
      <c r="Q37" s="57">
        <f>M37-('EMC模式'!K8-'EMC模式'!L8-'EMC模式'!M8+'EMC模式'!N8)</f>
        <v/>
      </c>
      <c r="R37" s="22" t="inlineStr">
        <is>
          <t>业主仍自付电费和运维；服务方收入与EMC接近，但运维管理成本更低</t>
        </is>
      </c>
    </row>
    <row r="38" ht="22" customHeight="1" s="32">
      <c r="A38" t="inlineStr">
        <is>
          <t>租赁</t>
        </is>
      </c>
      <c r="B38" t="n">
        <v>3</v>
      </c>
      <c r="C38" s="57">
        <f>'假设'!E9</f>
        <v/>
      </c>
      <c r="D38" s="57">
        <f>'假设'!F9</f>
        <v/>
      </c>
      <c r="E38" s="57">
        <f>'假设'!G9</f>
        <v/>
      </c>
      <c r="F38" s="57">
        <f>'假设'!H9</f>
        <v/>
      </c>
      <c r="G38" s="57">
        <f>'租赁模式'!H8</f>
        <v/>
      </c>
      <c r="H38" s="57">
        <f>G38-'EMC模式'!H8</f>
        <v/>
      </c>
      <c r="I38" s="57">
        <f>'租赁模式'!K9</f>
        <v/>
      </c>
      <c r="J38" s="57">
        <f>'租赁模式'!L9</f>
        <v/>
      </c>
      <c r="K38" s="57">
        <f>'租赁模式'!M9</f>
        <v/>
      </c>
      <c r="L38" s="57">
        <f>'租赁模式'!N9</f>
        <v/>
      </c>
      <c r="M38" s="57">
        <f>I38-J38-K38+L38</f>
        <v/>
      </c>
      <c r="N38" s="57">
        <f>I38-'EMC模式'!K9</f>
        <v/>
      </c>
      <c r="O38" s="57">
        <f>J38-'EMC模式'!L9</f>
        <v/>
      </c>
      <c r="P38" s="57">
        <f>L38-'EMC模式'!N9</f>
        <v/>
      </c>
      <c r="Q38" s="57">
        <f>M38-('EMC模式'!K9-'EMC模式'!L9-'EMC模式'!M9+'EMC模式'!N9)</f>
        <v/>
      </c>
      <c r="R38" s="22" t="inlineStr">
        <is>
          <t>业主仍自付电费和运维；服务方收入与EMC接近，但运维管理成本更低</t>
        </is>
      </c>
    </row>
    <row r="39" ht="22" customHeight="1" s="32">
      <c r="A39" t="inlineStr">
        <is>
          <t>租赁</t>
        </is>
      </c>
      <c r="B39" t="n">
        <v>4</v>
      </c>
      <c r="C39" s="57">
        <f>'假设'!E9</f>
        <v/>
      </c>
      <c r="D39" s="57">
        <f>'假设'!F9</f>
        <v/>
      </c>
      <c r="E39" s="57">
        <f>'假设'!G9</f>
        <v/>
      </c>
      <c r="F39" s="57">
        <f>'假设'!H9</f>
        <v/>
      </c>
      <c r="G39" s="57">
        <f>'租赁模式'!H9</f>
        <v/>
      </c>
      <c r="H39" s="57">
        <f>G39-'EMC模式'!H9</f>
        <v/>
      </c>
      <c r="I39" s="57">
        <f>'租赁模式'!K10</f>
        <v/>
      </c>
      <c r="J39" s="57">
        <f>'租赁模式'!L10</f>
        <v/>
      </c>
      <c r="K39" s="57">
        <f>'租赁模式'!M10</f>
        <v/>
      </c>
      <c r="L39" s="57">
        <f>'租赁模式'!N10</f>
        <v/>
      </c>
      <c r="M39" s="57">
        <f>I39-J39-K39+L39</f>
        <v/>
      </c>
      <c r="N39" s="57">
        <f>I39-'EMC模式'!K10</f>
        <v/>
      </c>
      <c r="O39" s="57">
        <f>J39-'EMC模式'!L10</f>
        <v/>
      </c>
      <c r="P39" s="57">
        <f>L39-'EMC模式'!N10</f>
        <v/>
      </c>
      <c r="Q39" s="57">
        <f>M39-('EMC模式'!K10-'EMC模式'!L10-'EMC模式'!M10+'EMC模式'!N10)</f>
        <v/>
      </c>
      <c r="R39" s="22" t="inlineStr">
        <is>
          <t>业主仍自付电费和运维；服务方收入与EMC接近，但运维管理成本更低</t>
        </is>
      </c>
    </row>
    <row r="40" ht="22" customHeight="1" s="32">
      <c r="A40" t="inlineStr">
        <is>
          <t>租赁</t>
        </is>
      </c>
      <c r="B40" t="n">
        <v>5</v>
      </c>
      <c r="C40" s="57">
        <f>'假设'!E9</f>
        <v/>
      </c>
      <c r="D40" s="57">
        <f>'假设'!F9</f>
        <v/>
      </c>
      <c r="E40" s="57">
        <f>'假设'!G9</f>
        <v/>
      </c>
      <c r="F40" s="57">
        <f>'假设'!H9</f>
        <v/>
      </c>
      <c r="G40" s="57">
        <f>'租赁模式'!H10</f>
        <v/>
      </c>
      <c r="H40" s="57">
        <f>G40-'EMC模式'!H10</f>
        <v/>
      </c>
      <c r="I40" s="57">
        <f>'租赁模式'!K11</f>
        <v/>
      </c>
      <c r="J40" s="57">
        <f>'租赁模式'!L11</f>
        <v/>
      </c>
      <c r="K40" s="57">
        <f>'租赁模式'!M11</f>
        <v/>
      </c>
      <c r="L40" s="57">
        <f>'租赁模式'!N11</f>
        <v/>
      </c>
      <c r="M40" s="57">
        <f>I40-J40-K40+L40</f>
        <v/>
      </c>
      <c r="N40" s="57">
        <f>I40-'EMC模式'!K11</f>
        <v/>
      </c>
      <c r="O40" s="57">
        <f>J40-'EMC模式'!L11</f>
        <v/>
      </c>
      <c r="P40" s="57">
        <f>L40-'EMC模式'!N11</f>
        <v/>
      </c>
      <c r="Q40" s="57">
        <f>M40-('EMC模式'!K11-'EMC模式'!L11-'EMC模式'!M11+'EMC模式'!N11)</f>
        <v/>
      </c>
      <c r="R40" s="22" t="inlineStr">
        <is>
          <t>业主仍自付电费和运维；服务方收入与EMC接近，但运维管理成本更低</t>
        </is>
      </c>
    </row>
    <row r="41" ht="22" customHeight="1" s="32">
      <c r="A41" t="inlineStr">
        <is>
          <t>租赁</t>
        </is>
      </c>
      <c r="B41" t="n">
        <v>6</v>
      </c>
      <c r="C41" s="57">
        <f>'假设'!E9</f>
        <v/>
      </c>
      <c r="D41" s="57">
        <f>'假设'!F9</f>
        <v/>
      </c>
      <c r="E41" s="57">
        <f>'假设'!G9</f>
        <v/>
      </c>
      <c r="F41" s="57">
        <f>'假设'!H9</f>
        <v/>
      </c>
      <c r="G41" s="57">
        <f>'租赁模式'!H11</f>
        <v/>
      </c>
      <c r="H41" s="57">
        <f>G41-'EMC模式'!H11</f>
        <v/>
      </c>
      <c r="I41" s="57">
        <f>'租赁模式'!K12</f>
        <v/>
      </c>
      <c r="J41" s="57">
        <f>'租赁模式'!L12</f>
        <v/>
      </c>
      <c r="K41" s="57">
        <f>'租赁模式'!M12</f>
        <v/>
      </c>
      <c r="L41" s="57">
        <f>'租赁模式'!N12</f>
        <v/>
      </c>
      <c r="M41" s="57">
        <f>I41-J41-K41+L41</f>
        <v/>
      </c>
      <c r="N41" s="57">
        <f>I41-'EMC模式'!K12</f>
        <v/>
      </c>
      <c r="O41" s="57">
        <f>J41-'EMC模式'!L12</f>
        <v/>
      </c>
      <c r="P41" s="57">
        <f>L41-'EMC模式'!N12</f>
        <v/>
      </c>
      <c r="Q41" s="57">
        <f>M41-('EMC模式'!K12-'EMC模式'!L12-'EMC模式'!M12+'EMC模式'!N12)</f>
        <v/>
      </c>
      <c r="R41" s="22" t="inlineStr">
        <is>
          <t>业主仍自付电费和运维；服务方收入与EMC接近，但运维管理成本更低</t>
        </is>
      </c>
    </row>
    <row r="42" ht="22" customHeight="1" s="32">
      <c r="A42" t="inlineStr">
        <is>
          <t>租赁</t>
        </is>
      </c>
      <c r="B42" t="n">
        <v>7</v>
      </c>
      <c r="C42" s="57">
        <f>'假设'!E9</f>
        <v/>
      </c>
      <c r="D42" s="57">
        <f>'假设'!F9</f>
        <v/>
      </c>
      <c r="E42" s="57">
        <f>'假设'!G9</f>
        <v/>
      </c>
      <c r="F42" s="57">
        <f>'假设'!H9</f>
        <v/>
      </c>
      <c r="G42" s="57">
        <f>'租赁模式'!H12</f>
        <v/>
      </c>
      <c r="H42" s="57">
        <f>G42-'EMC模式'!H12</f>
        <v/>
      </c>
      <c r="I42" s="57">
        <f>'租赁模式'!K13</f>
        <v/>
      </c>
      <c r="J42" s="57">
        <f>'租赁模式'!L13</f>
        <v/>
      </c>
      <c r="K42" s="57">
        <f>'租赁模式'!M13</f>
        <v/>
      </c>
      <c r="L42" s="57">
        <f>'租赁模式'!N13</f>
        <v/>
      </c>
      <c r="M42" s="57">
        <f>I42-J42-K42+L42</f>
        <v/>
      </c>
      <c r="N42" s="57">
        <f>I42-'EMC模式'!K13</f>
        <v/>
      </c>
      <c r="O42" s="57">
        <f>J42-'EMC模式'!L13</f>
        <v/>
      </c>
      <c r="P42" s="57">
        <f>L42-'EMC模式'!N13</f>
        <v/>
      </c>
      <c r="Q42" s="57">
        <f>M42-('EMC模式'!K13-'EMC模式'!L13-'EMC模式'!M13+'EMC模式'!N13)</f>
        <v/>
      </c>
      <c r="R42" s="22" t="inlineStr">
        <is>
          <t>业主仍自付电费和运维；服务方收入与EMC接近，但运维管理成本更低</t>
        </is>
      </c>
    </row>
    <row r="43" ht="22" customHeight="1" s="32">
      <c r="A43" t="inlineStr">
        <is>
          <t>租赁</t>
        </is>
      </c>
      <c r="B43" t="n">
        <v>8</v>
      </c>
      <c r="C43" s="57">
        <f>'假设'!E9</f>
        <v/>
      </c>
      <c r="D43" s="57">
        <f>'假设'!F9</f>
        <v/>
      </c>
      <c r="E43" s="57">
        <f>'假设'!G9</f>
        <v/>
      </c>
      <c r="F43" s="57">
        <f>'假设'!H9</f>
        <v/>
      </c>
      <c r="G43" s="57">
        <f>'租赁模式'!H13</f>
        <v/>
      </c>
      <c r="H43" s="57">
        <f>G43-'EMC模式'!H13</f>
        <v/>
      </c>
      <c r="I43" s="57">
        <f>'租赁模式'!K14</f>
        <v/>
      </c>
      <c r="J43" s="57">
        <f>'租赁模式'!L14</f>
        <v/>
      </c>
      <c r="K43" s="57">
        <f>'租赁模式'!M14</f>
        <v/>
      </c>
      <c r="L43" s="57">
        <f>'租赁模式'!N14</f>
        <v/>
      </c>
      <c r="M43" s="57">
        <f>I43-J43-K43+L43</f>
        <v/>
      </c>
      <c r="N43" s="57">
        <f>I43-'EMC模式'!K14</f>
        <v/>
      </c>
      <c r="O43" s="57">
        <f>J43-'EMC模式'!L14</f>
        <v/>
      </c>
      <c r="P43" s="57">
        <f>L43-'EMC模式'!N14</f>
        <v/>
      </c>
      <c r="Q43" s="57">
        <f>M43-('EMC模式'!K14-'EMC模式'!L14-'EMC模式'!M14+'EMC模式'!N14)</f>
        <v/>
      </c>
      <c r="R43" s="22" t="inlineStr">
        <is>
          <t>业主仍自付电费和运维；服务方收入与EMC接近，但运维管理成本更低</t>
        </is>
      </c>
    </row>
    <row r="44" ht="22" customHeight="1" s="32">
      <c r="A44" t="inlineStr">
        <is>
          <t>租赁</t>
        </is>
      </c>
      <c r="B44" t="n">
        <v>9</v>
      </c>
      <c r="C44" s="57">
        <f>'假设'!E9</f>
        <v/>
      </c>
      <c r="D44" s="57">
        <f>'假设'!F9</f>
        <v/>
      </c>
      <c r="E44" s="57">
        <f>'假设'!G9</f>
        <v/>
      </c>
      <c r="F44" s="57">
        <f>'假设'!H9</f>
        <v/>
      </c>
      <c r="G44" s="57">
        <f>'租赁模式'!H14</f>
        <v/>
      </c>
      <c r="H44" s="57">
        <f>G44-'EMC模式'!H14</f>
        <v/>
      </c>
      <c r="I44" s="57">
        <f>'租赁模式'!K15</f>
        <v/>
      </c>
      <c r="J44" s="57">
        <f>'租赁模式'!L15</f>
        <v/>
      </c>
      <c r="K44" s="57">
        <f>'租赁模式'!M15</f>
        <v/>
      </c>
      <c r="L44" s="57">
        <f>'租赁模式'!N15</f>
        <v/>
      </c>
      <c r="M44" s="57">
        <f>I44-J44-K44+L44</f>
        <v/>
      </c>
      <c r="N44" s="57">
        <f>I44-'EMC模式'!K15</f>
        <v/>
      </c>
      <c r="O44" s="57">
        <f>J44-'EMC模式'!L15</f>
        <v/>
      </c>
      <c r="P44" s="57">
        <f>L44-'EMC模式'!N15</f>
        <v/>
      </c>
      <c r="Q44" s="57">
        <f>M44-('EMC模式'!K15-'EMC模式'!L15-'EMC模式'!M15+'EMC模式'!N15)</f>
        <v/>
      </c>
      <c r="R44" s="22" t="inlineStr">
        <is>
          <t>业主仍自付电费和运维；服务方收入与EMC接近，但运维管理成本更低</t>
        </is>
      </c>
    </row>
    <row r="45" ht="22" customHeight="1" s="32">
      <c r="A45" t="inlineStr">
        <is>
          <t>租赁</t>
        </is>
      </c>
      <c r="B45" t="n">
        <v>10</v>
      </c>
      <c r="C45" s="57">
        <f>'假设'!E9</f>
        <v/>
      </c>
      <c r="D45" s="57">
        <f>'假设'!F9</f>
        <v/>
      </c>
      <c r="E45" s="57">
        <f>'假设'!G9</f>
        <v/>
      </c>
      <c r="F45" s="57">
        <f>'假设'!H9</f>
        <v/>
      </c>
      <c r="G45" s="57">
        <f>'租赁模式'!H15</f>
        <v/>
      </c>
      <c r="H45" s="57">
        <f>G45-'EMC模式'!H15</f>
        <v/>
      </c>
      <c r="I45" s="57">
        <f>'租赁模式'!K16</f>
        <v/>
      </c>
      <c r="J45" s="57">
        <f>'租赁模式'!L16</f>
        <v/>
      </c>
      <c r="K45" s="57">
        <f>'租赁模式'!M16</f>
        <v/>
      </c>
      <c r="L45" s="57">
        <f>'租赁模式'!N16</f>
        <v/>
      </c>
      <c r="M45" s="57">
        <f>I45-J45-K45+L45</f>
        <v/>
      </c>
      <c r="N45" s="57">
        <f>I45-'EMC模式'!K16</f>
        <v/>
      </c>
      <c r="O45" s="57">
        <f>J45-'EMC模式'!L16</f>
        <v/>
      </c>
      <c r="P45" s="57">
        <f>L45-'EMC模式'!N16</f>
        <v/>
      </c>
      <c r="Q45" s="57">
        <f>M45-('EMC模式'!K16-'EMC模式'!L16-'EMC模式'!M16+'EMC模式'!N16)</f>
        <v/>
      </c>
      <c r="R45" s="22" t="inlineStr">
        <is>
          <t>第10年含终值/残值归属；本模式下终值归甲方，因此甲方收益高于LaaS</t>
        </is>
      </c>
    </row>
    <row r="48" ht="15" customHeight="1" s="32">
      <c r="A48" s="39" t="inlineStr">
        <is>
          <t>快速解读</t>
        </is>
      </c>
      <c r="B48" s="39" t="n"/>
      <c r="C48" s="39" t="n"/>
      <c r="D48" s="39" t="n"/>
      <c r="E48" s="39" t="n"/>
      <c r="F48" s="39" t="n"/>
    </row>
    <row r="49" ht="15" customHeight="1" s="32">
      <c r="A49" s="48" t="inlineStr">
        <is>
          <t>观察点</t>
        </is>
      </c>
      <c r="B49" s="48" t="inlineStr">
        <is>
          <t>应该看哪几列</t>
        </is>
      </c>
      <c r="C49" s="48" t="inlineStr">
        <is>
          <t>你会看到什么</t>
        </is>
      </c>
      <c r="D49" s="48" t="inlineStr">
        <is>
          <t>业务解释</t>
        </is>
      </c>
      <c r="E49" s="48" t="inlineStr">
        <is>
          <t>结论提示</t>
        </is>
      </c>
      <c r="F49" s="48" t="n"/>
    </row>
    <row r="50" ht="15" customHeight="1" s="32">
      <c r="A50" t="inlineStr">
        <is>
          <t>甲方差异</t>
        </is>
      </c>
      <c r="B50" t="inlineStr">
        <is>
          <t>D~H</t>
        </is>
      </c>
      <c r="C50" t="inlineStr">
        <is>
          <t>前9年四种模式甲方收益基本一致，第10年LaaS少了甲方终值</t>
        </is>
      </c>
      <c r="D50" t="inlineStr">
        <is>
          <t>在业主总投入恒定时，甲方真正被拉开的是资产/终值归属</t>
        </is>
      </c>
      <c r="E50" t="inlineStr">
        <is>
          <t>甲方若重视最终资产，LaaS通常需要另行设计买断/回购条款</t>
        </is>
      </c>
    </row>
    <row r="51" ht="15" customHeight="1" s="32">
      <c r="A51" t="inlineStr">
        <is>
          <t>服务方差异</t>
        </is>
      </c>
      <c r="B51" t="inlineStr">
        <is>
          <t>I~Q</t>
        </is>
      </c>
      <c r="C51" t="inlineStr">
        <is>
          <t>能源托管收入最高但成本也最高；租赁成本最低；LaaS在第10年拿到残值</t>
        </is>
      </c>
      <c r="D51" t="inlineStr">
        <is>
          <t>同一业主支付额下，差异来自服务费口径和谁承担运维、电费、残值</t>
        </is>
      </c>
      <c r="E51" t="inlineStr">
        <is>
          <t>服务方若追求更高尾部价值，LaaS更有吸引力</t>
        </is>
      </c>
    </row>
    <row r="52" ht="15" customHeight="1" s="32">
      <c r="A52" t="inlineStr">
        <is>
          <t>不拉开差异的部分</t>
        </is>
      </c>
      <c r="B52" t="inlineStr">
        <is>
          <t>逐年利润对比!A35:E39</t>
        </is>
      </c>
      <c r="C52" t="inlineStr">
        <is>
          <t>设备商、EPC、债务条件基本相同</t>
        </is>
      </c>
      <c r="D52" t="inlineStr">
        <is>
          <t>这类收益主要在建设期或统一融资条件下已锁定</t>
        </is>
      </c>
      <c r="E52" t="inlineStr">
        <is>
          <t>运营期真正值得谈判的是服务费和资产归属</t>
        </is>
      </c>
    </row>
  </sheetData>
  <conditionalFormatting sqref="H6:H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6:Q4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2026-04-23T08:56:35Z</dcterms:created>
  <dcterms:modified xsi:type="dcterms:W3CDTF">2026-04-23T08:56:35Z</dcterms:modified>
</cp:coreProperties>
</file>