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假设" sheetId="1" state="visible" r:id="rId1"/>
    <sheet name="融资摊还" sheetId="2" state="visible" r:id="rId2"/>
    <sheet name="汇总对比" sheetId="3" state="visible" r:id="rId3"/>
    <sheet name="EMC模式" sheetId="4" state="visible" r:id="rId4"/>
    <sheet name="能源托管模式" sheetId="5" state="visible" r:id="rId5"/>
    <sheet name="LaaS模式" sheetId="6" state="visible" r:id="rId6"/>
    <sheet name="租赁模式" sheetId="7" state="visible" r:id="rId7"/>
    <sheet name="来源" sheetId="8" state="visible" r:id="rId8"/>
    <sheet name="逐年利润对比" sheetId="9" state="visible" r:id="rId9"/>
    <sheet name="年度差异来源" sheetId="10" state="visible" r:id="rId10"/>
  </sheets>
  <definedNames/>
</workbook>
</file>

<file path=xl/styles.xml><?xml version="1.0" encoding="utf-8"?>
<styleSheet xmlns="http://schemas.openxmlformats.org/spreadsheetml/2006/main">
  <numFmts count="2">
    <numFmt numFmtId="164" formatCode="#,##0;[Red]-#,##0"/>
    <numFmt numFmtId="165" formatCode="0.0%"/>
  </numFmts>
  <fonts count="8">
    <font>
      <name val="Carlito"/>
      <sz val="11"/>
    </font>
    <font>
      <name val="Carlito"/>
      <b val="1"/>
      <color theme="0"/>
      <sz val="16"/>
    </font>
    <font>
      <name val="Carlito"/>
      <i val="1"/>
      <color rgb="00555555"/>
      <sz val="10"/>
    </font>
    <font>
      <name val="Carlito"/>
      <b val="1"/>
      <color rgb="001F1F1F"/>
      <sz val="11"/>
    </font>
    <font>
      <name val="Carlito"/>
      <b val="1"/>
      <color theme="1"/>
      <sz val="15"/>
    </font>
    <font>
      <name val="Carlito"/>
      <b val="1"/>
      <sz val="12"/>
    </font>
    <font>
      <name val="Carlito"/>
      <b val="1"/>
      <color theme="0"/>
      <sz val="11"/>
    </font>
    <font>
      <name val="Carlito"/>
      <b val="1"/>
      <sz val="15"/>
    </font>
  </fonts>
  <fills count="8">
    <fill>
      <patternFill/>
    </fill>
    <fill>
      <patternFill patternType="gray125"/>
    </fill>
    <fill>
      <patternFill patternType="solid">
        <fgColor theme="4"/>
      </patternFill>
    </fill>
    <fill>
      <patternFill patternType="solid">
        <fgColor rgb="00D9EAF7"/>
      </patternFill>
    </fill>
    <fill>
      <patternFill patternType="solid">
        <fgColor theme="4"/>
      </patternFill>
    </fill>
    <fill>
      <patternFill patternType="solid">
        <fgColor theme="6"/>
      </patternFill>
    </fill>
    <fill>
      <patternFill patternType="solid">
        <fgColor theme="5"/>
      </patternFill>
    </fill>
    <fill>
      <patternFill patternType="solid">
        <fgColor theme="7"/>
      </patternFill>
    </fill>
  </fills>
  <borders count="2">
    <border/>
    <border/>
  </borders>
  <cellStyleXfs count="1">
    <xf numFmtId="0" fontId="0" fillId="0" borderId="1"/>
  </cellStyleXfs>
  <cellXfs count="60">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horizontal="center"/>
    </xf>
    <xf numFmtId="0" fontId="1" fillId="2" borderId="1" applyAlignment="1" pivotButton="0" quotePrefix="0" xfId="0">
      <alignment horizontal="center"/>
    </xf>
    <xf numFmtId="0" fontId="1" fillId="2" borderId="0" applyAlignment="1" pivotButton="0" quotePrefix="0" xfId="0">
      <alignment horizontal="center" vertical="center"/>
    </xf>
    <xf numFmtId="0" fontId="1" fillId="2" borderId="1" applyAlignment="1" pivotButton="0" quotePrefix="0" xfId="0">
      <alignment horizontal="center" vertical="center"/>
    </xf>
    <xf numFmtId="0" fontId="2" fillId="0" borderId="0" pivotButton="0" quotePrefix="0" xfId="0"/>
    <xf numFmtId="0" fontId="2" fillId="0" borderId="1" pivotButton="0" quotePrefix="0" xfId="0"/>
    <xf numFmtId="0" fontId="2" fillId="0" borderId="0" applyAlignment="1" pivotButton="0" quotePrefix="0" xfId="0">
      <alignment horizontal="left"/>
    </xf>
    <xf numFmtId="0" fontId="2" fillId="0" borderId="1" applyAlignment="1" pivotButton="0" quotePrefix="0" xfId="0">
      <alignment horizontal="left"/>
    </xf>
    <xf numFmtId="0" fontId="0" fillId="3" borderId="0" pivotButton="0" quotePrefix="0" xfId="0"/>
    <xf numFmtId="0" fontId="0" fillId="3" borderId="1" pivotButton="0" quotePrefix="0" xfId="0"/>
    <xf numFmtId="0" fontId="3" fillId="3" borderId="0" pivotButton="0" quotePrefix="0" xfId="0"/>
    <xf numFmtId="0" fontId="3" fillId="3" borderId="1" pivotButton="0" quotePrefix="0" xfId="0"/>
    <xf numFmtId="0" fontId="3" fillId="3" borderId="0" applyAlignment="1" pivotButton="0" quotePrefix="0" xfId="0">
      <alignment horizontal="center"/>
    </xf>
    <xf numFmtId="0" fontId="3" fillId="3" borderId="1" applyAlignment="1" pivotButton="0" quotePrefix="0" xfId="0">
      <alignment horizontal="center"/>
    </xf>
    <xf numFmtId="0" fontId="3" fillId="3" borderId="0" applyAlignment="1" pivotButton="0" quotePrefix="0" xfId="0">
      <alignment horizontal="center" vertical="center"/>
    </xf>
    <xf numFmtId="0" fontId="3" fillId="3" borderId="1" applyAlignment="1" pivotButton="0" quotePrefix="0" xfId="0">
      <alignment horizontal="center" vertical="center"/>
    </xf>
    <xf numFmtId="0" fontId="0" fillId="0" borderId="0" applyAlignment="1" pivotButton="0" quotePrefix="0" xfId="0">
      <alignment wrapText="1"/>
    </xf>
    <xf numFmtId="0" fontId="0" fillId="0" borderId="1" applyAlignment="1" pivotButton="0" quotePrefix="0" xfId="0">
      <alignment wrapText="1"/>
    </xf>
    <xf numFmtId="164" fontId="0" fillId="0" borderId="0" pivotButton="0" quotePrefix="0" xfId="0"/>
    <xf numFmtId="164" fontId="0" fillId="0" borderId="1" pivotButton="0" quotePrefix="0" xfId="0"/>
    <xf numFmtId="165" fontId="0" fillId="0" borderId="0" pivotButton="0" quotePrefix="0" xfId="0"/>
    <xf numFmtId="165" fontId="0" fillId="0" borderId="1" pivotButton="0" quotePrefix="0" xfId="0"/>
    <xf numFmtId="164" fontId="3" fillId="3" borderId="0" applyAlignment="1" pivotButton="0" quotePrefix="0" xfId="0">
      <alignment horizontal="center" vertical="center"/>
    </xf>
    <xf numFmtId="164" fontId="3" fillId="3" borderId="1" applyAlignment="1" pivotButton="0" quotePrefix="0" xfId="0">
      <alignment horizontal="center" vertical="center"/>
    </xf>
    <xf numFmtId="164" fontId="0" fillId="0" borderId="0" applyAlignment="1" pivotButton="0" quotePrefix="0" xfId="0">
      <alignment horizontal="right"/>
    </xf>
    <xf numFmtId="164" fontId="0" fillId="0" borderId="1" applyAlignment="1" pivotButton="0" quotePrefix="0" xfId="0">
      <alignment horizontal="right"/>
    </xf>
    <xf numFmtId="0" fontId="0" fillId="0" borderId="0" pivotButton="0" quotePrefix="0" xfId="0"/>
    <xf numFmtId="3" fontId="3" fillId="3" borderId="0" applyAlignment="1" pivotButton="0" quotePrefix="0" xfId="0">
      <alignment horizontal="center" vertical="center"/>
    </xf>
    <xf numFmtId="3" fontId="0" fillId="0" borderId="0" pivotButton="0" quotePrefix="0" xfId="0"/>
    <xf numFmtId="1" fontId="0" fillId="0" borderId="0" pivotButton="0" quotePrefix="0" xfId="0"/>
    <xf numFmtId="3" fontId="0" fillId="0" borderId="0" applyAlignment="1" pivotButton="0" quotePrefix="0" xfId="0">
      <alignment wrapText="1"/>
    </xf>
    <xf numFmtId="3" fontId="0" fillId="0" borderId="0" applyAlignment="1" pivotButton="0" quotePrefix="0" xfId="0">
      <alignment horizontal="right"/>
    </xf>
    <xf numFmtId="0" fontId="4" fillId="0" borderId="0" pivotButton="0" quotePrefix="0" xfId="0"/>
    <xf numFmtId="0" fontId="5" fillId="0" borderId="0" pivotButton="0" quotePrefix="0" xfId="0"/>
    <xf numFmtId="0" fontId="0" fillId="4" borderId="0" pivotButton="0" quotePrefix="0" xfId="0"/>
    <xf numFmtId="0" fontId="6" fillId="4" borderId="0" pivotButton="0" quotePrefix="0" xfId="0"/>
    <xf numFmtId="0" fontId="0" fillId="5" borderId="0" pivotButton="0" quotePrefix="0" xfId="0"/>
    <xf numFmtId="0" fontId="6" fillId="5" borderId="0" pivotButton="0" quotePrefix="0" xfId="0"/>
    <xf numFmtId="0" fontId="6" fillId="5" borderId="0" applyAlignment="1" pivotButton="0" quotePrefix="0" xfId="0">
      <alignment wrapText="1"/>
    </xf>
    <xf numFmtId="3" fontId="6" fillId="5" borderId="0" pivotButton="0" quotePrefix="0" xfId="0"/>
    <xf numFmtId="0" fontId="7" fillId="0" borderId="0" pivotButton="0" quotePrefix="0" xfId="0"/>
    <xf numFmtId="0" fontId="0" fillId="6" borderId="0" pivotButton="0" quotePrefix="0" xfId="0"/>
    <xf numFmtId="0" fontId="6" fillId="6" borderId="0" pivotButton="0" quotePrefix="0" xfId="0"/>
    <xf numFmtId="0" fontId="0" fillId="7" borderId="0" pivotButton="0" quotePrefix="0" xfId="0"/>
    <xf numFmtId="0" fontId="6" fillId="7" borderId="0" pivotButton="0" quotePrefix="0" xfId="0"/>
    <xf numFmtId="0" fontId="6" fillId="7" borderId="0" applyAlignment="1" pivotButton="0" quotePrefix="0" xfId="0">
      <alignment wrapText="1"/>
    </xf>
    <xf numFmtId="3" fontId="3" fillId="3" borderId="0" applyAlignment="1" pivotButton="0" quotePrefix="0" xfId="0">
      <alignment horizontal="center" vertical="center"/>
    </xf>
    <xf numFmtId="3" fontId="0" fillId="0" borderId="0" pivotButton="0" quotePrefix="0" xfId="0"/>
    <xf numFmtId="164" fontId="0" fillId="0" borderId="0" pivotButton="0" quotePrefix="0" xfId="0"/>
    <xf numFmtId="3" fontId="0" fillId="0" borderId="0" applyAlignment="1" pivotButton="0" quotePrefix="0" xfId="0">
      <alignment wrapText="1"/>
    </xf>
    <xf numFmtId="165" fontId="0" fillId="0" borderId="0" pivotButton="0" quotePrefix="0" xfId="0"/>
    <xf numFmtId="1" fontId="0" fillId="0" borderId="0" pivotButton="0" quotePrefix="0" xfId="0"/>
    <xf numFmtId="3" fontId="0" fillId="0" borderId="0" applyAlignment="1" pivotButton="0" quotePrefix="0" xfId="0">
      <alignment horizontal="right"/>
    </xf>
    <xf numFmtId="3" fontId="6" fillId="5" borderId="0" pivotButton="0" quotePrefix="0" xfId="0"/>
  </cellXfs>
  <cellStyles count="1">
    <cellStyle name="Normal" xfId="0"/>
  </cellStyles>
  <dxfs count="4">
    <dxf>
      <font>
        <color rgb="00166534"/>
      </font>
      <fill>
        <patternFill patternType="solid">
          <bgColor rgb="00DCFCE7"/>
        </patternFill>
      </fill>
    </dxf>
    <dxf>
      <font>
        <color rgb="00991B1B"/>
      </font>
      <fill>
        <patternFill patternType="solid">
          <bgColor rgb="00FEE2E2"/>
        </patternFill>
      </fill>
    </dxf>
    <dxf>
      <font>
        <color rgb="00166534"/>
      </font>
      <fill>
        <patternFill patternType="solid">
          <bgColor rgb="00DCFCE7"/>
        </patternFill>
      </fill>
    </dxf>
    <dxf>
      <font>
        <color rgb="00991B1B"/>
      </font>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r>
              <a:rPr/>
              <a:t>甲方 vs 核心服务方：10年净收益</a:t>
            </a:r>
          </a:p>
        </rich>
      </tx>
      <overlay val="0"/>
    </title>
    <plotArea>
      <layout/>
      <barChart>
        <barDir val="col"/>
        <grouping val="clustered"/>
        <varyColors val="0"/>
        <ser>
          <idx val="0"/>
          <order val="0"/>
          <tx>
            <v>EMC</v>
          </tx>
          <spPr>
            <a:ln>
              <a:prstDash val="solid"/>
            </a:ln>
          </spPr>
          <cat>
            <strRef>
              <f>'Summary'!$H$6:$H$7</f>
              <strCache>
                <ptCount val="0"/>
              </strCache>
            </strRef>
          </cat>
          <val>
            <numRef>
              <f>'Summary'!$I$6:$I$7</f>
              <numCache>
                <formatCode>#,##0;[Red]-#,##0</formatCode>
                <ptCount val="0"/>
              </numCache>
            </numRef>
          </val>
        </ser>
        <ser>
          <idx val="1"/>
          <order val="1"/>
          <tx>
            <v>Managed Energy</v>
          </tx>
          <spPr>
            <a:ln>
              <a:prstDash val="solid"/>
            </a:ln>
          </spPr>
          <cat>
            <strRef>
              <f>'Summary'!$H$6:$H$7</f>
              <strCache>
                <ptCount val="0"/>
              </strCache>
            </strRef>
          </cat>
          <val>
            <numRef>
              <f>'Summary'!$J$6:$J$7</f>
              <numCache>
                <formatCode>#,##0;[Red]-#,##0</formatCode>
                <ptCount val="0"/>
              </numCache>
            </numRef>
          </val>
        </ser>
        <ser>
          <idx val="2"/>
          <order val="2"/>
          <tx>
            <v>LaaS</v>
          </tx>
          <spPr>
            <a:ln>
              <a:prstDash val="solid"/>
            </a:ln>
          </spPr>
          <cat>
            <strRef>
              <f>'Summary'!$H$6:$H$7</f>
              <strCache>
                <ptCount val="0"/>
              </strCache>
            </strRef>
          </cat>
          <val>
            <numRef>
              <f>'Summary'!$K$6:$K$7</f>
              <numCache>
                <formatCode>#,##0;[Red]-#,##0</formatCode>
                <ptCount val="0"/>
              </numCache>
            </numRef>
          </val>
        </ser>
        <ser>
          <idx val="3"/>
          <order val="3"/>
          <tx>
            <v>Leasing</v>
          </tx>
          <spPr>
            <a:ln>
              <a:prstDash val="solid"/>
            </a:ln>
          </spPr>
          <cat>
            <strRef>
              <f>'Summary'!$H$6:$H$7</f>
              <strCache>
                <ptCount val="0"/>
              </strCache>
            </strRef>
          </cat>
          <val>
            <numRef>
              <f>'Summary'!$L$6:$L$7</f>
              <numCache>
                <formatCode>#,##0;[Red]-#,##0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a:t>主要参与方收益对比</a:t>
            </a:r>
          </a:p>
        </rich>
      </tx>
      <overlay val="0"/>
    </title>
    <plotArea>
      <layout/>
      <barChart>
        <barDir val="col"/>
        <grouping val="clustered"/>
        <varyColors val="0"/>
        <ser>
          <idx val="0"/>
          <order val="0"/>
          <tx>
            <v>EMC</v>
          </tx>
          <spPr>
            <a:ln>
              <a:prstDash val="solid"/>
            </a:ln>
          </spPr>
          <cat>
            <strRef>
              <f>'Summary'!$H$6:$H$8</f>
              <strCache>
                <ptCount val="0"/>
              </strCache>
            </strRef>
          </cat>
          <val>
            <numRef>
              <f>'Summary'!$I$6:$I$8</f>
              <numCache>
                <formatCode>#,##0;[Red]-#,##0</formatCode>
                <ptCount val="0"/>
              </numCache>
            </numRef>
          </val>
        </ser>
        <ser>
          <idx val="1"/>
          <order val="1"/>
          <tx>
            <v>Managed Energy</v>
          </tx>
          <spPr>
            <a:ln>
              <a:prstDash val="solid"/>
            </a:ln>
          </spPr>
          <cat>
            <strRef>
              <f>'Summary'!$H$6:$H$8</f>
              <strCache>
                <ptCount val="0"/>
              </strCache>
            </strRef>
          </cat>
          <val>
            <numRef>
              <f>'Summary'!$J$6:$J$8</f>
              <numCache>
                <formatCode>#,##0;[Red]-#,##0</formatCode>
                <ptCount val="0"/>
              </numCache>
            </numRef>
          </val>
        </ser>
        <ser>
          <idx val="2"/>
          <order val="2"/>
          <tx>
            <v>LaaS</v>
          </tx>
          <spPr>
            <a:ln>
              <a:prstDash val="solid"/>
            </a:ln>
          </spPr>
          <cat>
            <strRef>
              <f>'Summary'!$H$6:$H$8</f>
              <strCache>
                <ptCount val="0"/>
              </strCache>
            </strRef>
          </cat>
          <val>
            <numRef>
              <f>'Summary'!$K$6:$K$8</f>
              <numCache>
                <formatCode>#,##0;[Red]-#,##0</formatCode>
                <ptCount val="0"/>
              </numCache>
            </numRef>
          </val>
        </ser>
        <ser>
          <idx val="3"/>
          <order val="3"/>
          <tx>
            <v>Leasing</v>
          </tx>
          <spPr>
            <a:ln>
              <a:prstDash val="solid"/>
            </a:ln>
          </spPr>
          <cat>
            <strRef>
              <f>'Summary'!$H$6:$H$8</f>
              <strCache>
                <ptCount val="0"/>
              </strCache>
            </strRef>
          </cat>
          <val>
            <numRef>
              <f>'Summary'!$L$6:$L$8</f>
              <numCache>
                <formatCode>#,##0;[Red]-#,##0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9</row>
      <rowOff>0</rowOff>
    </from>
    <to>
      <col>14</col>
      <colOff>0</colOff>
      <row>26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14</col>
      <colOff>0</colOff>
      <row>9</row>
      <rowOff>0</rowOff>
    </from>
    <to>
      <col>22</col>
      <colOff>0</colOff>
      <row>26</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CalmBlue">
  <a:themeElements>
    <a:clrScheme name="CalmBlue">
      <a:dk1>
        <a:srgbClr val="1F1F1F"/>
      </a:dk1>
      <a:lt1>
        <a:srgbClr val="FFFFFF"/>
      </a:lt1>
      <a:dk2>
        <a:srgbClr val="0E2841"/>
      </a:dk2>
      <a:lt2>
        <a:srgbClr val="F5F7FA"/>
      </a:lt2>
      <a:accent1>
        <a:srgbClr val="1F4E79"/>
      </a:accent1>
      <a:accent2>
        <a:srgbClr val="5B9BD5"/>
      </a:accent2>
      <a:accent3>
        <a:srgbClr val="70AD47"/>
      </a:accent3>
      <a:accent4>
        <a:srgbClr val="ED7D31"/>
      </a:accent4>
      <a:accent5>
        <a:srgbClr val="A5A5A5"/>
      </a:accent5>
      <a:accent6>
        <a:srgbClr val="FFC000"/>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CalmBlu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24" customWidth="1" style="32" min="1" max="1"/>
    <col width="16" customWidth="1" style="32" min="2" max="2"/>
    <col width="85" customWidth="1" style="32" min="3" max="3"/>
    <col width="18" customWidth="1" style="32" min="4" max="4"/>
    <col width="18" customWidth="1" style="32" min="5" max="5"/>
    <col width="18" customWidth="1" style="32" min="6" max="6"/>
    <col width="18" customWidth="1" style="32" min="7" max="7"/>
    <col width="18" customWidth="1" style="32" min="8" max="8"/>
    <col width="20.86000061035156" customWidth="1" style="32" min="9" max="9"/>
    <col width="14.56999969482422" customWidth="1" style="32" min="10" max="10"/>
  </cols>
  <sheetData>
    <row r="1" ht="19.53125" customHeight="1" s="32">
      <c r="A1" s="9" t="inlineStr">
        <is>
          <t>路灯项目四种模式对照实验（业主年投入恒定）
——
Controlled experiment of four modes of street light project (owner’s annual investment is constant)</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口径：10年期；同一项目规模、同一节能效果、同一CAPEX与融资比例，并将“业主年总投入”固定为同一数值，仅比较不同合同结构如何分配收益。
——
Caliber: 10-year term; the same project scale, the same energy-saving effect, the same CAPEX and financing ratio, and the "owner's total annual investment" is fixed at the same value, and only how different contract structures distribute income is compared.</t>
        </is>
      </c>
      <c r="B3" s="1" t="n"/>
      <c r="C3" s="1" t="n"/>
      <c r="D3" s="1" t="n"/>
      <c r="E3" s="1" t="n"/>
      <c r="F3" s="1" t="n"/>
      <c r="G3" s="1" t="n"/>
      <c r="H3" s="1" t="n"/>
    </row>
    <row r="4"/>
    <row r="5" ht="15" customHeight="1" s="32">
      <c r="A5" s="52" t="inlineStr">
        <is>
          <t>全局假设
——
global assumptions</t>
        </is>
      </c>
      <c r="B5" s="52" t="inlineStr">
        <is>
          <t>数值
——
numerical value</t>
        </is>
      </c>
      <c r="C5" s="53" t="n"/>
      <c r="D5" s="52" t="inlineStr">
        <is>
          <t>模式
——
model</t>
        </is>
      </c>
      <c r="E5" s="52" t="inlineStr">
        <is>
          <t>业主年总投入（恒定）
——
Total annual investment of owners (constant)</t>
        </is>
      </c>
      <c r="F5" s="52" t="inlineStr">
        <is>
          <t>业主自付电费
——
Owner pays electricity bill</t>
        </is>
      </c>
      <c r="G5" s="52" t="inlineStr">
        <is>
          <t>业主自付运维
——
Owner pays for O&amp;M</t>
        </is>
      </c>
      <c r="H5" s="52" t="inlineStr">
        <is>
          <t>支付给核心服务方的费用
——
Fees paid to core service providers</t>
        </is>
      </c>
      <c r="I5" s="20" t="inlineStr">
        <is>
          <t>核心服务方第10年残值
——
Residual value of the core service provider in the 10th year</t>
        </is>
      </c>
      <c r="J5" s="20" t="inlineStr">
        <is>
          <t>甲方第10年终值
——
Party A’s 10th year final value</t>
        </is>
      </c>
    </row>
    <row r="6" ht="15" customHeight="1" s="32">
      <c r="A6" s="53" t="inlineStr">
        <is>
          <t>分析期（年）
——
Analysis period (year)</t>
        </is>
      </c>
      <c r="B6" s="53" t="n">
        <v>10</v>
      </c>
      <c r="C6" s="53" t="n"/>
      <c r="D6" s="53" t="inlineStr">
        <is>
          <t>EMC</t>
        </is>
      </c>
      <c r="E6" s="53">
        <f>$B$16</f>
        <v/>
      </c>
      <c r="F6" s="53">
        <f>$B$11</f>
        <v/>
      </c>
      <c r="G6" s="53">
        <f>$B$12</f>
        <v/>
      </c>
      <c r="H6" s="53">
        <f>E6-F6-G6</f>
        <v/>
      </c>
      <c r="I6" s="54" t="n">
        <v>0</v>
      </c>
      <c r="J6" s="54">
        <f>B21</f>
        <v/>
      </c>
    </row>
    <row r="7" ht="15" customHeight="1" s="32">
      <c r="A7" s="53" t="inlineStr">
        <is>
          <t>资产经济寿命（年）
——
Asset economic life (years)</t>
        </is>
      </c>
      <c r="B7" s="53" t="n">
        <v>12</v>
      </c>
      <c r="C7" s="53" t="n"/>
      <c r="D7" s="53" t="inlineStr">
        <is>
          <t>能源托管
——
Energy hosting</t>
        </is>
      </c>
      <c r="E7" s="53">
        <f>$B$16</f>
        <v/>
      </c>
      <c r="F7" s="53">
        <f>0</f>
        <v/>
      </c>
      <c r="G7" s="53">
        <f>0</f>
        <v/>
      </c>
      <c r="H7" s="53">
        <f>E7-F7-G7</f>
        <v/>
      </c>
      <c r="I7" s="54" t="n">
        <v>0</v>
      </c>
      <c r="J7" s="54">
        <f>B21</f>
        <v/>
      </c>
    </row>
    <row r="8" ht="15" customHeight="1" s="32">
      <c r="A8" s="53" t="inlineStr">
        <is>
          <t>改造CAPEX
——
Transform CAPEX</t>
        </is>
      </c>
      <c r="B8" s="53" t="n">
        <v>15000000</v>
      </c>
      <c r="C8" s="53" t="n"/>
      <c r="D8" s="53" t="inlineStr">
        <is>
          <t>LaaS</t>
        </is>
      </c>
      <c r="E8" s="53">
        <f>$B$16</f>
        <v/>
      </c>
      <c r="F8" s="53">
        <f>$B$11</f>
        <v/>
      </c>
      <c r="G8" s="53">
        <f>0</f>
        <v/>
      </c>
      <c r="H8" s="53">
        <f>E8-F8-G8</f>
        <v/>
      </c>
      <c r="I8" s="54">
        <f>B21</f>
        <v/>
      </c>
      <c r="J8" s="54" t="n">
        <v>0</v>
      </c>
    </row>
    <row r="9" ht="15" customHeight="1" s="32">
      <c r="A9" s="53" t="inlineStr">
        <is>
          <t>改造前年电费
——
Annual electricity bill before renovation</t>
        </is>
      </c>
      <c r="B9" s="53" t="n">
        <v>12000000</v>
      </c>
      <c r="C9" s="53" t="n"/>
      <c r="D9" s="53" t="inlineStr">
        <is>
          <t>租赁
——
lease</t>
        </is>
      </c>
      <c r="E9" s="53">
        <f>$B$16</f>
        <v/>
      </c>
      <c r="F9" s="53">
        <f>$B$11</f>
        <v/>
      </c>
      <c r="G9" s="53">
        <f>$B$12</f>
        <v/>
      </c>
      <c r="H9" s="53">
        <f>E9-F9-G9</f>
        <v/>
      </c>
      <c r="I9" s="54" t="n">
        <v>0</v>
      </c>
      <c r="J9" s="54">
        <f>B21</f>
        <v/>
      </c>
    </row>
    <row r="10" ht="15" customHeight="1" s="32">
      <c r="A10" s="53" t="inlineStr">
        <is>
          <t>改造前年运维费
——
Annual operation and maintenance fee before transformation</t>
        </is>
      </c>
      <c r="B10" s="53" t="n">
        <v>3000000</v>
      </c>
      <c r="C10" s="53" t="n"/>
      <c r="D10" s="53" t="n"/>
      <c r="E10" s="53" t="n"/>
      <c r="F10" s="53" t="n"/>
      <c r="G10" s="53" t="n"/>
      <c r="H10" s="53" t="n"/>
    </row>
    <row r="11" ht="15" customHeight="1" s="32">
      <c r="A11" s="53" t="inlineStr">
        <is>
          <t>改造后年电费
——
Annual electricity bill after renovation</t>
        </is>
      </c>
      <c r="B11" s="53" t="n">
        <v>7200000</v>
      </c>
      <c r="C11" s="53" t="n"/>
      <c r="D11" s="53" t="n"/>
      <c r="E11" s="53" t="n"/>
      <c r="F11" s="53" t="n"/>
      <c r="G11" s="53" t="n"/>
      <c r="H11" s="53" t="n"/>
    </row>
    <row r="12" ht="15" customHeight="1" s="32">
      <c r="A12" s="53" t="inlineStr">
        <is>
          <t>改造后年运维费
——
Annual operation and maintenance fee after transformation</t>
        </is>
      </c>
      <c r="B12" s="53" t="n">
        <v>2400000</v>
      </c>
      <c r="C12" s="53" t="n"/>
      <c r="D12" s="55" t="inlineStr">
        <is>
          <t>如何理解本工作簿
——
How to understand this workbook</t>
        </is>
      </c>
      <c r="E12" s="55" t="n"/>
      <c r="F12" s="55" t="n"/>
      <c r="G12" s="55" t="n"/>
      <c r="H12" s="55" t="n"/>
      <c r="I12" s="22" t="str"/>
      <c r="J12" s="22" t="str"/>
    </row>
    <row r="13" ht="15" customHeight="1" s="32">
      <c r="A13" s="53" t="inlineStr">
        <is>
          <t>平台/软件年成本
——
Platform/Software Annual Cost</t>
        </is>
      </c>
      <c r="B13" s="53" t="n">
        <v>400000</v>
      </c>
      <c r="C13" s="53" t="n"/>
      <c r="D13" s="55" t="inlineStr">
        <is>
          <t>业主年总投入恒定
——
The owner’s total annual investment is constant</t>
        </is>
      </c>
      <c r="E13" s="55" t="inlineStr">
        <is>
          <t>四种模式的“甲方实际流出”统一锁定为同一个年金额，默认值见B16，可直接改。
——
The "actual outflow of Party A" in the four modes is uniformly locked to the same annual amount. The default value is shown in B16 and can be changed directly.</t>
        </is>
      </c>
      <c r="F13" s="55" t="n"/>
      <c r="G13" s="55" t="n"/>
      <c r="H13" s="55" t="n"/>
      <c r="I13" s="22" t="str"/>
      <c r="J13" s="22" t="str"/>
    </row>
    <row r="14" ht="15" customHeight="1" s="32">
      <c r="A14" s="53" t="inlineStr">
        <is>
          <t>EMC服务运营年成本
——
Annual cost of EMC service operations</t>
        </is>
      </c>
      <c r="B14" s="53" t="n">
        <v>700000</v>
      </c>
      <c r="C14" s="53" t="n"/>
      <c r="D14" s="55" t="inlineStr">
        <is>
          <t>谁的利润会变化
——
Whose profit will change?</t>
        </is>
      </c>
      <c r="E14" s="55" t="inlineStr">
        <is>
          <t>在同一业主支付额下，变化最大的是核心服务方净现金；甲方差异主要来自终值/资产归属。
——
Under the same owner's payment amount, the biggest change is the net cash of the core service provider; the difference between Party A mainly comes from the terminal value/asset ownership.</t>
        </is>
      </c>
      <c r="F14" s="55" t="n"/>
      <c r="G14" s="55" t="n"/>
      <c r="H14" s="55" t="n"/>
      <c r="I14" s="22" t="str"/>
      <c r="J14" s="22" t="str"/>
    </row>
    <row r="15" ht="15" customHeight="1" s="32">
      <c r="A15" s="53" t="inlineStr">
        <is>
          <t>租赁服务管理年成本
——
Annual cost of rental service management</t>
        </is>
      </c>
      <c r="B15" s="53" t="n">
        <v>200000</v>
      </c>
      <c r="C15" s="53" t="n"/>
      <c r="D15" s="55" t="inlineStr">
        <is>
          <t>何时会出现不可行
——
When will it become unfeasible?</t>
        </is>
      </c>
      <c r="E15" s="55" t="inlineStr">
        <is>
          <t>如果B16过低，会导致某些模式下“支付给核心服务方的费用”为负数，说明该模式在该支付约束下不可成立。
——
If B16 is too low, the "fee paid to the core service provider" in some models will be negative, indicating that the model cannot be established under the payment constraints.</t>
        </is>
      </c>
      <c r="F15" s="55" t="n"/>
      <c r="G15" s="55" t="n"/>
      <c r="H15" s="55" t="n"/>
      <c r="I15" s="22" t="str"/>
      <c r="J15" s="22" t="str"/>
    </row>
    <row r="16" ht="15" customHeight="1" s="32">
      <c r="A16" s="53" t="inlineStr">
        <is>
          <t>业主年总投入（恒定，可调）
——
Owner’s total annual investment (constant, adjustable)</t>
        </is>
      </c>
      <c r="B16" s="53" t="n">
        <v>13100000</v>
      </c>
      <c r="C16" s="53" t="n"/>
      <c r="D16" s="53" t="n"/>
      <c r="E16" s="53" t="n"/>
      <c r="F16" s="53" t="n"/>
      <c r="G16" s="53" t="n"/>
      <c r="H16" s="53" t="n"/>
    </row>
    <row r="17" ht="15" customHeight="1" s="32">
      <c r="A17" s="53" t="inlineStr">
        <is>
          <t>债务比例
——
debt ratio</t>
        </is>
      </c>
      <c r="B17" s="56" t="n">
        <v>0.7</v>
      </c>
      <c r="C17" s="53" t="n"/>
      <c r="D17" s="53" t="n"/>
      <c r="E17" s="53" t="n"/>
      <c r="F17" s="53" t="n"/>
      <c r="G17" s="53" t="n"/>
      <c r="H17" s="53" t="n"/>
    </row>
    <row r="18" ht="15" customHeight="1" s="32">
      <c r="A18" s="53" t="inlineStr">
        <is>
          <t>贷款利率
——
loan interest rate</t>
        </is>
      </c>
      <c r="B18" s="56" t="n">
        <v>0.06</v>
      </c>
      <c r="C18" s="53" t="n"/>
      <c r="D18" s="53" t="n"/>
      <c r="E18" s="53" t="n"/>
      <c r="F18" s="53" t="n"/>
      <c r="G18" s="53" t="n"/>
      <c r="H18" s="53" t="n"/>
    </row>
    <row r="19" ht="15" customHeight="1" s="32">
      <c r="A19" s="53" t="inlineStr">
        <is>
          <t>资金方资金成本
——
Funding side capital cost</t>
        </is>
      </c>
      <c r="B19" s="56" t="n">
        <v>0.035</v>
      </c>
      <c r="C19" s="53" t="n"/>
      <c r="D19" s="53" t="n"/>
      <c r="E19" s="53" t="n"/>
      <c r="F19" s="53" t="n"/>
      <c r="G19" s="53" t="n"/>
      <c r="H19" s="53" t="n"/>
    </row>
    <row r="20" ht="15" customHeight="1" s="32">
      <c r="A20" s="53" t="inlineStr">
        <is>
          <t>设备收入占CAPEX比例
——
Equipment revenue as a proportion of CAPEX</t>
        </is>
      </c>
      <c r="B20" s="56" t="n">
        <v>0.8</v>
      </c>
      <c r="C20" s="53" t="n"/>
      <c r="D20" s="53" t="n"/>
      <c r="E20" s="53" t="n"/>
      <c r="F20" s="53" t="n"/>
      <c r="G20" s="53" t="n"/>
      <c r="H20" s="53" t="n"/>
    </row>
    <row r="21" ht="15" customHeight="1" s="32">
      <c r="A21" s="53" t="inlineStr">
        <is>
          <t>设备毛利率
——
Equipment gross profit margin</t>
        </is>
      </c>
      <c r="B21" s="56" t="n">
        <v>0.225</v>
      </c>
      <c r="C21" s="53" t="n"/>
      <c r="D21" s="53" t="n"/>
      <c r="E21" s="53" t="n"/>
      <c r="F21" s="53" t="n"/>
      <c r="G21" s="53" t="n"/>
      <c r="H21" s="53" t="n"/>
    </row>
    <row r="22" ht="15" customHeight="1" s="32">
      <c r="A22" s="53" t="inlineStr">
        <is>
          <t>EPC收入占CAPEX比例
——
EPC revenue as a proportion of CAPEX</t>
        </is>
      </c>
      <c r="B22" s="56" t="n">
        <v>0.2</v>
      </c>
      <c r="C22" s="53" t="n"/>
      <c r="D22" s="53" t="n"/>
      <c r="E22" s="53" t="n"/>
      <c r="F22" s="53" t="n"/>
      <c r="G22" s="53" t="n"/>
      <c r="H22" s="53" t="n"/>
    </row>
    <row r="23" ht="15" customHeight="1" s="32">
      <c r="A23" s="53" t="inlineStr">
        <is>
          <t>EPC毛利率
——
EPC gross profit margin</t>
        </is>
      </c>
      <c r="B23" s="56" t="n">
        <v>0.2</v>
      </c>
      <c r="C23" s="53" t="n"/>
      <c r="D23" s="53" t="n"/>
      <c r="E23" s="53" t="n"/>
      <c r="F23" s="53" t="n"/>
      <c r="G23" s="53" t="n"/>
      <c r="H23" s="53" t="n"/>
    </row>
    <row r="24" ht="15" customHeight="1" s="32">
      <c r="A24" s="53" t="inlineStr">
        <is>
          <t>第10年终值（资产残值）
——
Ending value at year 10 (residual value of assets)</t>
        </is>
      </c>
      <c r="B24" s="53" t="n">
        <v>2500000</v>
      </c>
      <c r="C24" s="53" t="n"/>
      <c r="D24" s="53" t="n"/>
      <c r="E24" s="53" t="n"/>
      <c r="F24" s="53" t="n"/>
      <c r="G24" s="53" t="n"/>
      <c r="H24" s="53" t="n"/>
    </row>
    <row r="25" ht="15" customHeight="1" s="32">
      <c r="A25" s="53" t="inlineStr">
        <is>
          <t>债务金额
——
Debt amount</t>
        </is>
      </c>
      <c r="B25" s="53">
        <f>B8*B17</f>
        <v/>
      </c>
      <c r="C25" s="53" t="n"/>
      <c r="D25" s="53" t="n"/>
      <c r="E25" s="53" t="n"/>
      <c r="F25" s="53" t="n"/>
      <c r="G25" s="53" t="n"/>
      <c r="H25" s="53" t="n"/>
    </row>
    <row r="26" ht="15" customHeight="1" s="32">
      <c r="A26" s="53" t="inlineStr">
        <is>
          <t>股权投入
——
Equity investment</t>
        </is>
      </c>
      <c r="B26" s="53">
        <f>B8-B25</f>
        <v/>
      </c>
      <c r="C26" s="53" t="n"/>
      <c r="D26" s="53" t="n"/>
      <c r="E26" s="53" t="n"/>
      <c r="F26" s="53" t="n"/>
      <c r="G26" s="53" t="n"/>
      <c r="H26" s="53" t="n"/>
    </row>
    <row r="27" ht="15" customHeight="1" s="32">
      <c r="A27" s="53" t="inlineStr">
        <is>
          <t>年债务偿付额
——
annual debt service</t>
        </is>
      </c>
      <c r="B27" s="53">
        <f>-PMT(B18,B6,B25)</f>
        <v/>
      </c>
      <c r="C27" s="53" t="n"/>
      <c r="D27" s="53" t="n"/>
      <c r="E27" s="53" t="n"/>
      <c r="F27" s="53" t="n"/>
      <c r="G27" s="53" t="n"/>
      <c r="H27" s="53" t="n"/>
    </row>
    <row r="28" ht="15" customHeight="1" s="32">
      <c r="A28" s="53" t="inlineStr">
        <is>
          <t>累计债务偿付额
——
Cumulative debt repayments</t>
        </is>
      </c>
      <c r="B28" s="53">
        <f>B27*B6</f>
        <v/>
      </c>
      <c r="C28" s="53" t="n"/>
      <c r="D28" s="53" t="n"/>
      <c r="E28" s="53" t="n"/>
      <c r="F28" s="53" t="n"/>
      <c r="G28" s="53" t="n"/>
      <c r="H28" s="53" t="n"/>
    </row>
    <row r="29" ht="15" customHeight="1" s="32">
      <c r="A29" s="53" t="inlineStr">
        <is>
          <t>甲方基线年总成本
——
Party A’s baseline annual total cost</t>
        </is>
      </c>
      <c r="B29" s="53">
        <f>B9+B10</f>
        <v/>
      </c>
      <c r="C29" s="53" t="n"/>
      <c r="D29" s="53" t="n"/>
      <c r="E29" s="53" t="n"/>
      <c r="F29" s="53" t="n"/>
      <c r="G29" s="53" t="n"/>
      <c r="H29" s="53" t="n"/>
    </row>
    <row r="30" ht="15" customHeight="1" s="32">
      <c r="A30" s="53" t="inlineStr">
        <is>
          <t>甲方基线10年总成本
——
Party A’s baseline 10-year total cost</t>
        </is>
      </c>
      <c r="B30" s="53">
        <f>B29*B6</f>
        <v/>
      </c>
      <c r="C30" s="53" t="n"/>
      <c r="D30" s="53" t="n"/>
      <c r="E30" s="53" t="n"/>
      <c r="F30" s="53" t="n"/>
      <c r="G30" s="53" t="n"/>
      <c r="H30" s="53" t="n"/>
    </row>
  </sheetData>
  <mergeCells count="2">
    <mergeCell ref="A1:H2"/>
    <mergeCell ref="A3:H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4" customWidth="1" style="32" min="1" max="1"/>
    <col width="14" customWidth="1" style="32" min="2" max="2"/>
    <col width="14" customWidth="1" style="32" min="3" max="3"/>
    <col width="14" customWidth="1" style="32" min="4" max="4"/>
    <col width="14" customWidth="1" style="32" min="5" max="5"/>
    <col width="14" customWidth="1" style="32" min="6" max="6"/>
    <col width="14" customWidth="1" style="32" min="7" max="7"/>
    <col width="14" customWidth="1" style="32" min="8" max="8"/>
  </cols>
  <sheetData>
    <row r="1" ht="19.53125" customHeight="1" s="32">
      <c r="A1" s="9" t="inlineStr">
        <is>
          <t>统一融资假设下的贷款摊还表
——
Loan amortization schedule under unified financing assumptions</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口径：四种模式统一采用相同的CAPEX、债务比例与利率；由于本次只固定业主支付额，因此融资侧结果保持一致。
——
Caliber: The four models adopt the same CAPEX, debt ratio and interest rate; since only the owner’s payment amount is fixed this time, the financing results remain consistent.</t>
        </is>
      </c>
      <c r="B3" s="1" t="n"/>
      <c r="C3" s="1" t="n"/>
      <c r="D3" s="1" t="n"/>
      <c r="E3" s="1" t="n"/>
      <c r="F3" s="1" t="n"/>
      <c r="G3" s="1" t="n"/>
      <c r="H3" s="1" t="n"/>
    </row>
    <row r="4"/>
    <row r="5" ht="15" customHeight="1" s="32">
      <c r="A5" s="52" t="inlineStr">
        <is>
          <t>年份
——
years</t>
        </is>
      </c>
      <c r="B5" s="52" t="inlineStr">
        <is>
          <t>期初余额
——
Opening balance</t>
        </is>
      </c>
      <c r="C5" s="52" t="inlineStr">
        <is>
          <t>年偿付额
——
annual payment</t>
        </is>
      </c>
      <c r="D5" s="52" t="inlineStr">
        <is>
          <t>利息
——
Interest</t>
        </is>
      </c>
      <c r="E5" s="52" t="inlineStr">
        <is>
          <t>本金
——
principal</t>
        </is>
      </c>
      <c r="F5" s="52" t="inlineStr">
        <is>
          <t>期末余额
——
Ending balance</t>
        </is>
      </c>
      <c r="G5" s="52" t="inlineStr">
        <is>
          <t>资金成本
——
capital cost</t>
        </is>
      </c>
      <c r="H5" s="52" t="inlineStr">
        <is>
          <t>净息差
——
net interest margin</t>
        </is>
      </c>
    </row>
    <row r="6" ht="15" customHeight="1" s="32">
      <c r="A6" s="57" t="n">
        <v>1</v>
      </c>
      <c r="B6" s="53">
        <f>'假设'!$B$25</f>
        <v/>
      </c>
      <c r="C6" s="53">
        <f>'假设'!$B$27</f>
        <v/>
      </c>
      <c r="D6" s="53">
        <f>B6*'假设'!$B$18</f>
        <v/>
      </c>
      <c r="E6" s="53">
        <f>C6-D6</f>
        <v/>
      </c>
      <c r="F6" s="53">
        <f>MAX(B6-E6,0)</f>
        <v/>
      </c>
      <c r="G6" s="53">
        <f>B6*'假设'!$B$19</f>
        <v/>
      </c>
      <c r="H6" s="53">
        <f>D6-G6</f>
        <v/>
      </c>
    </row>
    <row r="7" ht="15" customHeight="1" s="32">
      <c r="A7" s="57" t="n">
        <v>2</v>
      </c>
      <c r="B7" s="53">
        <f>F6</f>
        <v/>
      </c>
      <c r="C7" s="53">
        <f>'假设'!$B$27</f>
        <v/>
      </c>
      <c r="D7" s="53">
        <f>B7*'假设'!$B$18</f>
        <v/>
      </c>
      <c r="E7" s="53">
        <f>C7-D7</f>
        <v/>
      </c>
      <c r="F7" s="53">
        <f>MAX(B7-E7,0)</f>
        <v/>
      </c>
      <c r="G7" s="53">
        <f>B7*'假设'!$B$19</f>
        <v/>
      </c>
      <c r="H7" s="53">
        <f>D7-G7</f>
        <v/>
      </c>
    </row>
    <row r="8" ht="15" customHeight="1" s="32">
      <c r="A8" s="57" t="n">
        <v>3</v>
      </c>
      <c r="B8" s="53">
        <f>F7</f>
        <v/>
      </c>
      <c r="C8" s="53">
        <f>'假设'!$B$27</f>
        <v/>
      </c>
      <c r="D8" s="53">
        <f>B8*'假设'!$B$18</f>
        <v/>
      </c>
      <c r="E8" s="53">
        <f>C8-D8</f>
        <v/>
      </c>
      <c r="F8" s="53">
        <f>MAX(B8-E8,0)</f>
        <v/>
      </c>
      <c r="G8" s="53">
        <f>B8*'假设'!$B$19</f>
        <v/>
      </c>
      <c r="H8" s="53">
        <f>D8-G8</f>
        <v/>
      </c>
    </row>
    <row r="9" ht="15" customHeight="1" s="32">
      <c r="A9" s="57" t="n">
        <v>4</v>
      </c>
      <c r="B9" s="53">
        <f>F8</f>
        <v/>
      </c>
      <c r="C9" s="53">
        <f>'假设'!$B$27</f>
        <v/>
      </c>
      <c r="D9" s="53">
        <f>B9*'假设'!$B$18</f>
        <v/>
      </c>
      <c r="E9" s="53">
        <f>C9-D9</f>
        <v/>
      </c>
      <c r="F9" s="53">
        <f>MAX(B9-E9,0)</f>
        <v/>
      </c>
      <c r="G9" s="53">
        <f>B9*'假设'!$B$19</f>
        <v/>
      </c>
      <c r="H9" s="53">
        <f>D9-G9</f>
        <v/>
      </c>
    </row>
    <row r="10" ht="15" customHeight="1" s="32">
      <c r="A10" s="57" t="n">
        <v>5</v>
      </c>
      <c r="B10" s="53">
        <f>F9</f>
        <v/>
      </c>
      <c r="C10" s="53">
        <f>'假设'!$B$27</f>
        <v/>
      </c>
      <c r="D10" s="53">
        <f>B10*'假设'!$B$18</f>
        <v/>
      </c>
      <c r="E10" s="53">
        <f>C10-D10</f>
        <v/>
      </c>
      <c r="F10" s="53">
        <f>MAX(B10-E10,0)</f>
        <v/>
      </c>
      <c r="G10" s="53">
        <f>B10*'假设'!$B$19</f>
        <v/>
      </c>
      <c r="H10" s="53">
        <f>D10-G10</f>
        <v/>
      </c>
    </row>
    <row r="11" ht="15" customHeight="1" s="32">
      <c r="A11" s="57" t="n">
        <v>6</v>
      </c>
      <c r="B11" s="53">
        <f>F10</f>
        <v/>
      </c>
      <c r="C11" s="53">
        <f>'假设'!$B$27</f>
        <v/>
      </c>
      <c r="D11" s="53">
        <f>B11*'假设'!$B$18</f>
        <v/>
      </c>
      <c r="E11" s="53">
        <f>C11-D11</f>
        <v/>
      </c>
      <c r="F11" s="53">
        <f>MAX(B11-E11,0)</f>
        <v/>
      </c>
      <c r="G11" s="53">
        <f>B11*'假设'!$B$19</f>
        <v/>
      </c>
      <c r="H11" s="53">
        <f>D11-G11</f>
        <v/>
      </c>
    </row>
    <row r="12" ht="15" customHeight="1" s="32">
      <c r="A12" s="57" t="n">
        <v>7</v>
      </c>
      <c r="B12" s="53">
        <f>F11</f>
        <v/>
      </c>
      <c r="C12" s="53">
        <f>'假设'!$B$27</f>
        <v/>
      </c>
      <c r="D12" s="53">
        <f>B12*'假设'!$B$18</f>
        <v/>
      </c>
      <c r="E12" s="53">
        <f>C12-D12</f>
        <v/>
      </c>
      <c r="F12" s="53">
        <f>MAX(B12-E12,0)</f>
        <v/>
      </c>
      <c r="G12" s="53">
        <f>B12*'假设'!$B$19</f>
        <v/>
      </c>
      <c r="H12" s="53">
        <f>D12-G12</f>
        <v/>
      </c>
    </row>
    <row r="13" ht="15" customHeight="1" s="32">
      <c r="A13" s="57" t="n">
        <v>8</v>
      </c>
      <c r="B13" s="53">
        <f>F12</f>
        <v/>
      </c>
      <c r="C13" s="53">
        <f>'假设'!$B$27</f>
        <v/>
      </c>
      <c r="D13" s="53">
        <f>B13*'假设'!$B$18</f>
        <v/>
      </c>
      <c r="E13" s="53">
        <f>C13-D13</f>
        <v/>
      </c>
      <c r="F13" s="53">
        <f>MAX(B13-E13,0)</f>
        <v/>
      </c>
      <c r="G13" s="53">
        <f>B13*'假设'!$B$19</f>
        <v/>
      </c>
      <c r="H13" s="53">
        <f>D13-G13</f>
        <v/>
      </c>
    </row>
    <row r="14" ht="15" customHeight="1" s="32">
      <c r="A14" s="57" t="n">
        <v>9</v>
      </c>
      <c r="B14" s="53">
        <f>F13</f>
        <v/>
      </c>
      <c r="C14" s="53">
        <f>'假设'!$B$27</f>
        <v/>
      </c>
      <c r="D14" s="53">
        <f>B14*'假设'!$B$18</f>
        <v/>
      </c>
      <c r="E14" s="53">
        <f>C14-D14</f>
        <v/>
      </c>
      <c r="F14" s="53">
        <f>MAX(B14-E14,0)</f>
        <v/>
      </c>
      <c r="G14" s="53">
        <f>B14*'假设'!$B$19</f>
        <v/>
      </c>
      <c r="H14" s="53">
        <f>D14-G14</f>
        <v/>
      </c>
    </row>
    <row r="15" ht="15" customHeight="1" s="32">
      <c r="A15" s="57" t="n">
        <v>10</v>
      </c>
      <c r="B15" s="53">
        <f>F14</f>
        <v/>
      </c>
      <c r="C15" s="53">
        <f>'假设'!$B$27</f>
        <v/>
      </c>
      <c r="D15" s="53">
        <f>B15*'假设'!$B$18</f>
        <v/>
      </c>
      <c r="E15" s="53">
        <f>C15-D15</f>
        <v/>
      </c>
      <c r="F15" s="53">
        <f>MAX(B15-E15,0)</f>
        <v/>
      </c>
      <c r="G15" s="53">
        <f>B15*'假设'!$B$19</f>
        <v/>
      </c>
      <c r="H15" s="53">
        <f>D15-G15</f>
        <v/>
      </c>
    </row>
    <row r="16" ht="15" customHeight="1" s="32">
      <c r="A16" s="52" t="inlineStr">
        <is>
          <t>合计
——
total</t>
        </is>
      </c>
      <c r="B16" s="52" t="str"/>
      <c r="C16" s="52">
        <f>SUM(C6:C15)</f>
        <v/>
      </c>
      <c r="D16" s="52">
        <f>SUM(D6:D15)</f>
        <v/>
      </c>
      <c r="E16" s="52">
        <f>SUM(E6:E15)</f>
        <v/>
      </c>
      <c r="F16" s="52" t="str"/>
      <c r="G16" s="52">
        <f>SUM(G6:G15)</f>
        <v/>
      </c>
      <c r="H16" s="52">
        <f>SUM(H6:H15)</f>
        <v/>
      </c>
    </row>
  </sheetData>
  <mergeCells count="2">
    <mergeCell ref="A1:H2"/>
    <mergeCell ref="A3:H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18" customWidth="1" style="32" min="4" max="4"/>
    <col width="18" customWidth="1" style="32" min="5" max="5"/>
    <col width="18" customWidth="1" style="32" min="6" max="6"/>
    <col width="91.86000061035156" customWidth="1" style="32" min="7" max="7"/>
    <col width="16" customWidth="1" style="32" min="8" max="8"/>
    <col width="16" customWidth="1" style="32" min="9" max="9"/>
    <col width="16" customWidth="1" style="32" min="10" max="10"/>
    <col width="16" customWidth="1" style="32" min="11" max="11"/>
    <col width="16" customWidth="1" style="32" min="12" max="12"/>
  </cols>
  <sheetData>
    <row r="1" ht="19.53125" customHeight="1" s="32">
      <c r="A1" s="9" t="inlineStr">
        <is>
          <t>四种模式最终各方收益对比（业主年投入恒定）
——
Comparison of the final benefits of all parties among the four models (the owner’s annual investment is constant)</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核心看法：在“业主年总投入固定”为同一个数字时，甲方差异主要体现在终值归属，真正被拉开的是核心服务方的收益分配。默认固定值见“假设”表B16。
——
Core view: When the "owner's total annual investment is fixed" is the same number, the difference between Party A is mainly reflected in the terminal value attribution, and what really matters is the income distribution of the core service provider. See "Assumptions" table B16 for the default fixed values.</t>
        </is>
      </c>
      <c r="B3" s="1" t="n"/>
      <c r="C3" s="1" t="n"/>
      <c r="D3" s="1" t="n"/>
      <c r="E3" s="1" t="n"/>
      <c r="F3" s="1" t="n"/>
      <c r="G3" s="1" t="n"/>
      <c r="H3" s="1" t="n"/>
    </row>
    <row r="4"/>
    <row r="5" ht="15" customHeight="1" s="32">
      <c r="A5" s="52" t="inlineStr">
        <is>
          <t>参与方
——
Participants</t>
        </is>
      </c>
      <c r="B5" s="52" t="inlineStr">
        <is>
          <t>EMC</t>
        </is>
      </c>
      <c r="C5" s="52" t="inlineStr">
        <is>
          <t>能源托管
——
Energy hosting</t>
        </is>
      </c>
      <c r="D5" s="52" t="inlineStr">
        <is>
          <t>LaaS</t>
        </is>
      </c>
      <c r="E5" s="52" t="inlineStr">
        <is>
          <t>租赁
——
lease</t>
        </is>
      </c>
      <c r="F5" s="52" t="inlineStr">
        <is>
          <t>口径说明
——
Caliber description</t>
        </is>
      </c>
      <c r="G5" s="53" t="n"/>
      <c r="H5" s="52" t="inlineStr">
        <is>
          <t>指标
——
index</t>
        </is>
      </c>
      <c r="I5" s="52" t="inlineStr">
        <is>
          <t>EMC</t>
        </is>
      </c>
      <c r="J5" s="52" t="inlineStr">
        <is>
          <t>能源托管
——
Energy hosting</t>
        </is>
      </c>
      <c r="K5" s="52" t="inlineStr">
        <is>
          <t>LaaS</t>
        </is>
      </c>
      <c r="L5" s="52" t="inlineStr">
        <is>
          <t>租赁
——
lease</t>
        </is>
      </c>
    </row>
    <row r="6" ht="15" customHeight="1" s="32">
      <c r="A6" s="53" t="inlineStr">
        <is>
          <t>甲方净收益
——
Party A’s net income</t>
        </is>
      </c>
      <c r="B6" s="58">
        <f>'EMC模式'!$B$7</f>
        <v/>
      </c>
      <c r="C6" s="58">
        <f>'能源托管模式'!$B$7</f>
        <v/>
      </c>
      <c r="D6" s="58">
        <f>'LaaS模式'!$B$7</f>
        <v/>
      </c>
      <c r="E6" s="58">
        <f>'租赁模式'!$B$7</f>
        <v/>
      </c>
      <c r="F6" s="55" t="inlineStr">
        <is>
          <t>10年相对基线的节约额 + 若终值归甲方则加上终值
——
Savings compared to baseline in 10 years + add the future value if the future value belongs to Party A</t>
        </is>
      </c>
      <c r="G6" s="53" t="n"/>
      <c r="H6" s="53" t="inlineStr">
        <is>
          <t>甲方净收益
——
Party A’s net income</t>
        </is>
      </c>
      <c r="I6" s="58">
        <f>B6</f>
        <v/>
      </c>
      <c r="J6" s="58">
        <f>C6</f>
        <v/>
      </c>
      <c r="K6" s="58">
        <f>D6</f>
        <v/>
      </c>
      <c r="L6" s="58">
        <f>E6</f>
        <v/>
      </c>
    </row>
    <row r="7" ht="15" customHeight="1" s="32">
      <c r="A7" s="53" t="inlineStr">
        <is>
          <t>核心服务方净现金
——
Core service side net cash</t>
        </is>
      </c>
      <c r="B7" s="58">
        <f>'EMC模式'!$B$8</f>
        <v/>
      </c>
      <c r="C7" s="58">
        <f>'能源托管模式'!$B$8</f>
        <v/>
      </c>
      <c r="D7" s="58">
        <f>'LaaS模式'!$B$8</f>
        <v/>
      </c>
      <c r="E7" s="58">
        <f>'租赁模式'!$B$8</f>
        <v/>
      </c>
      <c r="F7" s="55" t="inlineStr">
        <is>
          <t>收入 + 残值归服务方 – 直接运营成本 – 累计债务偿付 – 初始股权投入
——
Revenue + residual value belongs to the service provider – direct operating costs – accumulated debt repayments – initial equity investment</t>
        </is>
      </c>
      <c r="G7" s="53" t="n"/>
      <c r="H7" s="53" t="inlineStr">
        <is>
          <t>核心服务方净现金
——
Core service side net cash</t>
        </is>
      </c>
      <c r="I7" s="58">
        <f>B7</f>
        <v/>
      </c>
      <c r="J7" s="58">
        <f>C7</f>
        <v/>
      </c>
      <c r="K7" s="58">
        <f>D7</f>
        <v/>
      </c>
      <c r="L7" s="58">
        <f>E7</f>
        <v/>
      </c>
    </row>
    <row r="8" ht="15" customHeight="1" s="32">
      <c r="A8" s="53" t="inlineStr">
        <is>
          <t>设备商利润
——
Equipment manufacturer profit</t>
        </is>
      </c>
      <c r="B8" s="58">
        <f>'EMC模式'!$B$11</f>
        <v/>
      </c>
      <c r="C8" s="58">
        <f>'能源托管模式'!$B$11</f>
        <v/>
      </c>
      <c r="D8" s="58">
        <f>'LaaS模式'!$B$11</f>
        <v/>
      </c>
      <c r="E8" s="58">
        <f>'租赁模式'!$B$11</f>
        <v/>
      </c>
      <c r="F8" s="55" t="inlineStr">
        <is>
          <t>固定同一CAPEX拆分，用于隔离模式差异
——
Fixed same CAPEX split for isolating schema differences</t>
        </is>
      </c>
      <c r="G8" s="53" t="n"/>
      <c r="H8" s="53" t="inlineStr">
        <is>
          <t>资金方净息差
——
Funding side net interest margin</t>
        </is>
      </c>
      <c r="I8" s="58">
        <f>B10</f>
        <v/>
      </c>
      <c r="J8" s="58">
        <f>C10</f>
        <v/>
      </c>
      <c r="K8" s="58">
        <f>D10</f>
        <v/>
      </c>
      <c r="L8" s="58">
        <f>E10</f>
        <v/>
      </c>
    </row>
    <row r="9" ht="15" customHeight="1" s="32">
      <c r="A9" s="53" t="inlineStr">
        <is>
          <t>EPC利润
——
EPC profit</t>
        </is>
      </c>
      <c r="B9" s="58">
        <f>'EMC模式'!$B$12</f>
        <v/>
      </c>
      <c r="C9" s="58">
        <f>'能源托管模式'!$B$12</f>
        <v/>
      </c>
      <c r="D9" s="58">
        <f>'LaaS模式'!$B$12</f>
        <v/>
      </c>
      <c r="E9" s="58">
        <f>'租赁模式'!$B$12</f>
        <v/>
      </c>
      <c r="F9" s="55" t="inlineStr">
        <is>
          <t>固定同一CAPEX拆分，用于隔离模式差异
——
Fixed same CAPEX split for isolating schema differences</t>
        </is>
      </c>
      <c r="G9" s="53" t="n"/>
      <c r="H9" s="53" t="n"/>
      <c r="I9" s="53" t="n"/>
      <c r="J9" s="53" t="n"/>
      <c r="K9" s="53" t="n"/>
      <c r="L9" s="53" t="n"/>
    </row>
    <row r="10" ht="15" customHeight="1" s="32">
      <c r="A10" s="53" t="inlineStr">
        <is>
          <t>资金方净息差
——
Funding side net interest margin</t>
        </is>
      </c>
      <c r="B10" s="58">
        <f>'EMC模式'!$B$14</f>
        <v/>
      </c>
      <c r="C10" s="58">
        <f>'能源托管模式'!$B$14</f>
        <v/>
      </c>
      <c r="D10" s="58">
        <f>'LaaS模式'!$B$14</f>
        <v/>
      </c>
      <c r="E10" s="58">
        <f>'租赁模式'!$B$14</f>
        <v/>
      </c>
      <c r="F10" s="55" t="inlineStr">
        <is>
          <t>统一债务条件下的净利差收益
——
Net interest margin income under unified debt conditions</t>
        </is>
      </c>
      <c r="G10" s="53" t="n"/>
      <c r="H10" s="53" t="n"/>
      <c r="I10" s="53" t="n"/>
      <c r="J10" s="53" t="n"/>
      <c r="K10" s="53" t="n"/>
      <c r="L10" s="53" t="n"/>
    </row>
    <row r="11">
      <c r="A11" s="53" t="n"/>
      <c r="B11" s="53" t="n"/>
      <c r="C11" s="53" t="n"/>
      <c r="D11" s="53" t="n"/>
      <c r="E11" s="53" t="n"/>
      <c r="F11" s="53" t="n"/>
      <c r="G11" s="53" t="n"/>
      <c r="H11" s="53" t="n"/>
      <c r="I11" s="53" t="n"/>
      <c r="J11" s="53" t="n"/>
      <c r="K11" s="53" t="n"/>
      <c r="L11" s="53" t="n"/>
    </row>
    <row r="12">
      <c r="A12" s="53" t="n"/>
      <c r="B12" s="53" t="n"/>
      <c r="C12" s="53" t="n"/>
      <c r="D12" s="53" t="n"/>
      <c r="E12" s="53" t="n"/>
      <c r="F12" s="53" t="n"/>
      <c r="G12" s="53" t="n"/>
      <c r="H12" s="53" t="n"/>
      <c r="I12" s="53" t="n"/>
      <c r="J12" s="53" t="n"/>
      <c r="K12" s="53" t="n"/>
      <c r="L12" s="53" t="n"/>
    </row>
    <row r="13" ht="15" customHeight="1" s="32">
      <c r="A13" s="52" t="inlineStr">
        <is>
          <t>快速结论
——
Quick conclusion</t>
        </is>
      </c>
      <c r="B13" s="52" t="inlineStr">
        <is>
          <t>最佳模式
——
best mode</t>
        </is>
      </c>
      <c r="C13" s="52" t="inlineStr">
        <is>
          <t>指标
——
index</t>
        </is>
      </c>
      <c r="D13" s="52" t="inlineStr">
        <is>
          <t>数值
——
numerical value</t>
        </is>
      </c>
      <c r="E13" s="53" t="n"/>
      <c r="F13" s="53" t="n"/>
      <c r="G13" s="53" t="n"/>
      <c r="H13" s="53" t="n"/>
      <c r="I13" s="53" t="n"/>
      <c r="J13" s="53" t="n"/>
      <c r="K13" s="53" t="n"/>
      <c r="L13" s="53" t="n"/>
    </row>
    <row r="14" ht="15" customHeight="1" s="32">
      <c r="A14" s="53" t="inlineStr">
        <is>
          <t>甲方
——
Party A</t>
        </is>
      </c>
      <c r="B14" s="53">
        <f>INDEX(B$5:E$5,1, MATCH(MAX(B6:E6), B6:E6, 0))</f>
        <v/>
      </c>
      <c r="C14" s="53" t="inlineStr">
        <is>
          <t>甲方净收益最高
——
Party A has the highest net income</t>
        </is>
      </c>
      <c r="D14" s="53">
        <f>MAX(B6:E6)</f>
        <v/>
      </c>
      <c r="E14" s="53" t="n"/>
      <c r="F14" s="53" t="n"/>
      <c r="G14" s="53" t="n"/>
      <c r="H14" s="53" t="n"/>
      <c r="I14" s="53" t="n"/>
      <c r="J14" s="53" t="n"/>
      <c r="K14" s="53" t="n"/>
      <c r="L14" s="53" t="n"/>
    </row>
    <row r="15" ht="15" customHeight="1" s="32">
      <c r="A15" s="53" t="inlineStr">
        <is>
          <t>核心服务方
——
Core service provider</t>
        </is>
      </c>
      <c r="B15" s="53">
        <f>INDEX(B$5:E$5,1, MATCH(MAX(B7:E7), B7:E7, 0))</f>
        <v/>
      </c>
      <c r="C15" s="53" t="inlineStr">
        <is>
          <t>核心服务方净现金最高
——
Core service provider has the highest net cash</t>
        </is>
      </c>
      <c r="D15" s="53">
        <f>MAX(B7:E7)</f>
        <v/>
      </c>
      <c r="E15" s="53" t="n"/>
      <c r="F15" s="53" t="n"/>
      <c r="G15" s="53" t="n"/>
      <c r="H15" s="53" t="n"/>
      <c r="I15" s="53" t="n"/>
      <c r="J15" s="53" t="n"/>
      <c r="K15" s="53" t="n"/>
      <c r="L15" s="53" t="n"/>
    </row>
    <row r="16" ht="15" customHeight="1" s="32">
      <c r="A16" s="53" t="inlineStr">
        <is>
          <t>提醒
——
remind</t>
        </is>
      </c>
      <c r="B16" s="53" t="inlineStr">
        <is>
          <t>LaaS若要成立
——
To establish LaaS</t>
        </is>
      </c>
      <c r="C16" s="53" t="inlineStr">
        <is>
          <t>需确保残值归服务方，或提高订阅费
——
It is necessary to ensure that the residual value belongs to the service provider, or to increase the subscription fee</t>
        </is>
      </c>
      <c r="D16" s="53" t="n"/>
      <c r="E16" s="53" t="n"/>
      <c r="F16" s="53" t="n"/>
      <c r="G16" s="53" t="n"/>
      <c r="H16" s="53" t="n"/>
      <c r="I16" s="53" t="n"/>
      <c r="J16" s="53" t="n"/>
      <c r="K16" s="53" t="n"/>
      <c r="L16" s="53" t="n"/>
    </row>
    <row r="17"/>
    <row r="18">
      <c r="A18" s="51" t="inlineStr">
        <is>
          <t>新增阅读指引
——
Added reading guide</t>
        </is>
      </c>
      <c r="B18" s="51" t="inlineStr">
        <is>
          <t>先看“逐年利润对比”了解每年谁更赚，再看“年度差异来源”定位差额到底来自服务费、电费/运维承担还是残值归属。
——
First look at the "year-by-year profit comparison" to understand who makes more money each year, and then look at the "annual source of difference" to determine whether the difference comes from service fees, electricity bills/operation and maintenance commitments, or residual value attribution.</t>
        </is>
      </c>
      <c r="C18" s="51" t="n"/>
      <c r="D18" s="51" t="n"/>
      <c r="E18" s="51" t="n"/>
      <c r="F18" s="51" t="n"/>
    </row>
  </sheetData>
  <mergeCells count="2">
    <mergeCell ref="A1:H2"/>
    <mergeCell ref="A3:H3"/>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EMC：业主年投入恒定下的参与方收益拆解
——
EMC: Breakdown of participant income under constant annual investment of owners</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说明：业主每年总投入固定为同一金额；EMC下甲方仍自付电费与运维，剩余部分支付给ESCO。第10年终值归甲方。
——
Note: The owner's total annual investment is fixed at the same amount; under EMC, Party A still pays for electricity and operation and maintenance, and the remaining part is paid to ESCO. The final value in the 10th year belongs to Party A.</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'假设'!$B$30-B6*'假设'!$B$6+='假设'!$B$24</f>
        <v/>
      </c>
      <c r="C7" s="53" t="n"/>
      <c r="D7" s="57" t="n">
        <v>2</v>
      </c>
      <c r="E7" s="53">
        <f>'假设'!$B$29</f>
        <v/>
      </c>
      <c r="F7" s="53">
        <f>'假设'!$B$16</f>
        <v/>
      </c>
      <c r="G7" s="53">
        <f>0</f>
        <v/>
      </c>
      <c r="H7" s="53">
        <f>E7-F7+G7</f>
        <v/>
      </c>
      <c r="I7" s="53" t="n"/>
      <c r="J7" s="57" t="n">
        <v>1</v>
      </c>
      <c r="K7" s="53">
        <f>'假设'!$H$6</f>
        <v/>
      </c>
      <c r="L7" s="53">
        <f>'假设'!$B$14</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'假设'!$H$6</f>
        <v/>
      </c>
      <c r="L8" s="53">
        <f>'假设'!$B$14</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'假设'!$H$6</f>
        <v/>
      </c>
      <c r="L9" s="53">
        <f>'假设'!$B$14</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'假设'!$H$6</f>
        <v/>
      </c>
      <c r="L10" s="53">
        <f>'假设'!$B$14</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'假设'!$H$6</f>
        <v/>
      </c>
      <c r="L11" s="53">
        <f>'假设'!$B$14</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'假设'!$H$6</f>
        <v/>
      </c>
      <c r="L12" s="53">
        <f>'假设'!$B$14</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'假设'!$H$6</f>
        <v/>
      </c>
      <c r="L13" s="53">
        <f>'假设'!$B$14</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'假设'!$H$6</f>
        <v/>
      </c>
      <c r="L14" s="53">
        <f>'假设'!$B$14</f>
        <v/>
      </c>
      <c r="M14" s="53">
        <f>'假设'!$B$27</f>
        <v/>
      </c>
      <c r="N14" s="53">
        <f>0</f>
        <v/>
      </c>
      <c r="O14" s="53">
        <f>K14-L14-M14+N14</f>
        <v/>
      </c>
    </row>
    <row r="15" ht="15" customHeight="1" s="32">
      <c r="A15" s="53" t="n"/>
      <c r="B15" s="53" t="n"/>
      <c r="C15" s="53" t="n"/>
      <c r="D15" s="57" t="n">
        <v>10</v>
      </c>
      <c r="E15" s="53">
        <f>'假设'!$B$29</f>
        <v/>
      </c>
      <c r="F15" s="53">
        <f>'假设'!$B$16</f>
        <v/>
      </c>
      <c r="G15" s="53">
        <f>'假设'!$B$24</f>
        <v/>
      </c>
      <c r="H15" s="53">
        <f>E15-F15+G15</f>
        <v/>
      </c>
      <c r="I15" s="53" t="n"/>
      <c r="J15" s="57" t="n">
        <v>9</v>
      </c>
      <c r="K15" s="53">
        <f>'假设'!$H$6</f>
        <v/>
      </c>
      <c r="L15" s="53">
        <f>'假设'!$B$14</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'假设'!$H$6</f>
        <v/>
      </c>
      <c r="L16" s="53">
        <f>'假设'!$B$14</f>
        <v/>
      </c>
      <c r="M16" s="53">
        <f>'假设'!$B$27</f>
        <v/>
      </c>
      <c r="N16" s="53">
        <f>0</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能源托管：业主年投入恒定下的参与方收益拆解
——
Energy Trusteeship: Breakdown of Participants’ Income Under Constant Owner’s Annual Investment</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说明：业主每年总投入固定为同一金额；能源托管下甲方不再单独支付电费与运维，全部体现在托管费中。第10年终值归甲方。
——
Note: The owner’s total annual investment is fixed at the same amount; under energy hosting, Party A no longer pays separate electricity bills and operation and maintenance, all of which are reflected in the hosting fee. The final value in the 10th year belongs to Party A.</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'假设'!$B$30-B6*'假设'!$B$6+='假设'!$B$24</f>
        <v/>
      </c>
      <c r="C7" s="53" t="n"/>
      <c r="D7" s="57" t="n">
        <v>2</v>
      </c>
      <c r="E7" s="53">
        <f>'假设'!$B$29</f>
        <v/>
      </c>
      <c r="F7" s="53">
        <f>'假设'!$B$16</f>
        <v/>
      </c>
      <c r="G7" s="53">
        <f>0</f>
        <v/>
      </c>
      <c r="H7" s="53">
        <f>E7-F7+G7</f>
        <v/>
      </c>
      <c r="I7" s="53" t="n"/>
      <c r="J7" s="57" t="n">
        <v>1</v>
      </c>
      <c r="K7" s="53">
        <f>'假设'!$H$7</f>
        <v/>
      </c>
      <c r="L7" s="53">
        <f>'假设'!$B$11+'假设'!$B$12+'假设'!$B$13</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'假设'!$H$7</f>
        <v/>
      </c>
      <c r="L8" s="53">
        <f>'假设'!$B$11+'假设'!$B$12+'假设'!$B$13</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'假设'!$H$7</f>
        <v/>
      </c>
      <c r="L9" s="53">
        <f>'假设'!$B$11+'假设'!$B$12+'假设'!$B$13</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'假设'!$H$7</f>
        <v/>
      </c>
      <c r="L10" s="53">
        <f>'假设'!$B$11+'假设'!$B$12+'假设'!$B$13</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'假设'!$H$7</f>
        <v/>
      </c>
      <c r="L11" s="53">
        <f>'假设'!$B$11+'假设'!$B$12+'假设'!$B$13</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'假设'!$H$7</f>
        <v/>
      </c>
      <c r="L12" s="53">
        <f>'假设'!$B$11+'假设'!$B$12+'假设'!$B$13</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'假设'!$H$7</f>
        <v/>
      </c>
      <c r="L13" s="53">
        <f>'假设'!$B$11+'假设'!$B$12+'假设'!$B$13</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'假设'!$H$7</f>
        <v/>
      </c>
      <c r="L14" s="53">
        <f>'假设'!$B$11+'假设'!$B$12+'假设'!$B$13</f>
        <v/>
      </c>
      <c r="M14" s="53">
        <f>'假设'!$B$27</f>
        <v/>
      </c>
      <c r="N14" s="53">
        <f>0</f>
        <v/>
      </c>
      <c r="O14" s="53">
        <f>K14-L14-M14+N14</f>
        <v/>
      </c>
    </row>
    <row r="15" ht="15" customHeight="1" s="32">
      <c r="A15" s="53" t="n"/>
      <c r="B15" s="53" t="n"/>
      <c r="C15" s="53" t="n"/>
      <c r="D15" s="57" t="n">
        <v>10</v>
      </c>
      <c r="E15" s="53">
        <f>'假设'!$B$29</f>
        <v/>
      </c>
      <c r="F15" s="53">
        <f>'假设'!$B$16</f>
        <v/>
      </c>
      <c r="G15" s="53">
        <f>'假设'!$B$24</f>
        <v/>
      </c>
      <c r="H15" s="53">
        <f>E15-F15+G15</f>
        <v/>
      </c>
      <c r="I15" s="53" t="n"/>
      <c r="J15" s="57" t="n">
        <v>9</v>
      </c>
      <c r="K15" s="53">
        <f>'假设'!$H$7</f>
        <v/>
      </c>
      <c r="L15" s="53">
        <f>'假设'!$B$11+'假设'!$B$12+'假设'!$B$13</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'假设'!$H$7</f>
        <v/>
      </c>
      <c r="L16" s="53">
        <f>'假设'!$B$11+'假设'!$B$12+'假设'!$B$13</f>
        <v/>
      </c>
      <c r="M16" s="53">
        <f>'假设'!$B$27</f>
        <v/>
      </c>
      <c r="N16" s="53">
        <f>0</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LaaS：业主年投入恒定下的参与方收益拆解
——
LaaS: Breakdown of participant income under constant annual investment of owners</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说明：业主每年总投入固定为同一金额；LaaS下甲方仍自付电费，服务商承担运维与平台成本。第10年残值默认归服务商。
——
Note: The owner’s total annual investment is fixed at the same amount; under LaaS, Party A still pays the electricity bill, and the service provider bears the operation, maintenance and platform costs. The residual value in the 10th year defaults to the service provider.</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'假设'!$B$30-B6*'假设'!$B$6+0</f>
        <v/>
      </c>
      <c r="C7" s="53" t="n"/>
      <c r="D7" s="57" t="n">
        <v>2</v>
      </c>
      <c r="E7" s="53">
        <f>'假设'!$B$29</f>
        <v/>
      </c>
      <c r="F7" s="53">
        <f>'假设'!$B$16</f>
        <v/>
      </c>
      <c r="G7" s="53">
        <f>0</f>
        <v/>
      </c>
      <c r="H7" s="53">
        <f>E7-F7+G7</f>
        <v/>
      </c>
      <c r="I7" s="53" t="n"/>
      <c r="J7" s="57" t="n">
        <v>1</v>
      </c>
      <c r="K7" s="53">
        <f>'假设'!$H$8</f>
        <v/>
      </c>
      <c r="L7" s="53">
        <f>'假设'!$B$12+'假设'!$B$13</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'假设'!$H$8</f>
        <v/>
      </c>
      <c r="L8" s="53">
        <f>'假设'!$B$12+'假设'!$B$13</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'假设'!$H$8</f>
        <v/>
      </c>
      <c r="L9" s="53">
        <f>'假设'!$B$12+'假设'!$B$13</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'假设'!$H$8</f>
        <v/>
      </c>
      <c r="L10" s="53">
        <f>'假设'!$B$12+'假设'!$B$13</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'假设'!$H$8</f>
        <v/>
      </c>
      <c r="L11" s="53">
        <f>'假设'!$B$12+'假设'!$B$13</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'假设'!$H$8</f>
        <v/>
      </c>
      <c r="L12" s="53">
        <f>'假设'!$B$12+'假设'!$B$13</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'假设'!$H$8</f>
        <v/>
      </c>
      <c r="L13" s="53">
        <f>'假设'!$B$12+'假设'!$B$13</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'假设'!$H$8</f>
        <v/>
      </c>
      <c r="L14" s="53">
        <f>'假设'!$B$12+'假设'!$B$13</f>
        <v/>
      </c>
      <c r="M14" s="53">
        <f>'假设'!$B$27</f>
        <v/>
      </c>
      <c r="N14" s="53">
        <f>0</f>
        <v/>
      </c>
      <c r="O14" s="53">
        <f>K14-L14-M14+N14</f>
        <v/>
      </c>
    </row>
    <row r="15" ht="15" customHeight="1" s="32">
      <c r="A15" s="53" t="n"/>
      <c r="B15" s="53" t="n"/>
      <c r="C15" s="53" t="n"/>
      <c r="D15" s="57" t="n">
        <v>10</v>
      </c>
      <c r="E15" s="53">
        <f>'假设'!$B$29</f>
        <v/>
      </c>
      <c r="F15" s="53">
        <f>'假设'!$B$16</f>
        <v/>
      </c>
      <c r="G15" s="53">
        <f>0</f>
        <v/>
      </c>
      <c r="H15" s="53">
        <f>E15-F15+G15</f>
        <v/>
      </c>
      <c r="I15" s="53" t="n"/>
      <c r="J15" s="57" t="n">
        <v>9</v>
      </c>
      <c r="K15" s="53">
        <f>'假设'!$H$8</f>
        <v/>
      </c>
      <c r="L15" s="53">
        <f>'假设'!$B$12+'假设'!$B$13</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'假设'!$H$8</f>
        <v/>
      </c>
      <c r="L16" s="53">
        <f>'假设'!$B$12+'假设'!$B$13</f>
        <v/>
      </c>
      <c r="M16" s="53">
        <f>'假设'!$B$27</f>
        <v/>
      </c>
      <c r="N16" s="53">
        <f>'假设'!$B$24</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租赁：业主年投入恒定下的参与方收益拆解
——
Leasing: Breakdown of participant income under constant annual investment of the owner</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说明：业主每年总投入固定为同一金额；租赁下甲方自付电费与运维，租金由剩余空间决定。第10年终值归甲方。
——
Note: The owner’s total annual investment is fixed at the same amount; under the lease, Party A pays for electricity and operation and maintenance, and the rent is determined by the remaining space. The final value in the 10th year belongs to Party A.</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'假设'!$B$30-B6*'假设'!$B$6+='假设'!$B$24</f>
        <v/>
      </c>
      <c r="C7" s="53" t="n"/>
      <c r="D7" s="57" t="n">
        <v>2</v>
      </c>
      <c r="E7" s="53">
        <f>'假设'!$B$29</f>
        <v/>
      </c>
      <c r="F7" s="53">
        <f>'假设'!$B$16</f>
        <v/>
      </c>
      <c r="G7" s="53">
        <f>0</f>
        <v/>
      </c>
      <c r="H7" s="53">
        <f>E7-F7+G7</f>
        <v/>
      </c>
      <c r="I7" s="53" t="n"/>
      <c r="J7" s="57" t="n">
        <v>1</v>
      </c>
      <c r="K7" s="53">
        <f>'假设'!$H$9</f>
        <v/>
      </c>
      <c r="L7" s="53">
        <f>'假设'!$B$15</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'假设'!$H$9</f>
        <v/>
      </c>
      <c r="L8" s="53">
        <f>'假设'!$B$15</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'假设'!$H$9</f>
        <v/>
      </c>
      <c r="L9" s="53">
        <f>'假设'!$B$15</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'假设'!$H$9</f>
        <v/>
      </c>
      <c r="L10" s="53">
        <f>'假设'!$B$15</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'假设'!$H$9</f>
        <v/>
      </c>
      <c r="L11" s="53">
        <f>'假设'!$B$15</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'假设'!$H$9</f>
        <v/>
      </c>
      <c r="L12" s="53">
        <f>'假设'!$B$15</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'假设'!$H$9</f>
        <v/>
      </c>
      <c r="L13" s="53">
        <f>'假设'!$B$15</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'假设'!$H$9</f>
        <v/>
      </c>
      <c r="L14" s="53">
        <f>'假设'!$B$15</f>
        <v/>
      </c>
      <c r="M14" s="53">
        <f>'假设'!$B$27</f>
        <v/>
      </c>
      <c r="N14" s="53">
        <f>0</f>
        <v/>
      </c>
      <c r="O14" s="53">
        <f>K14-L14-M14+N14</f>
        <v/>
      </c>
    </row>
    <row r="15" ht="15" customHeight="1" s="32">
      <c r="A15" s="53" t="n"/>
      <c r="B15" s="53" t="n"/>
      <c r="C15" s="53" t="n"/>
      <c r="D15" s="57" t="n">
        <v>10</v>
      </c>
      <c r="E15" s="53">
        <f>'假设'!$B$29</f>
        <v/>
      </c>
      <c r="F15" s="53">
        <f>'假设'!$B$16</f>
        <v/>
      </c>
      <c r="G15" s="53">
        <f>'假设'!$B$24</f>
        <v/>
      </c>
      <c r="H15" s="53">
        <f>E15-F15+G15</f>
        <v/>
      </c>
      <c r="I15" s="53" t="n"/>
      <c r="J15" s="57" t="n">
        <v>9</v>
      </c>
      <c r="K15" s="53">
        <f>'假设'!$H$9</f>
        <v/>
      </c>
      <c r="L15" s="53">
        <f>'假设'!$B$15</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'假设'!$H$9</f>
        <v/>
      </c>
      <c r="L16" s="53">
        <f>'假设'!$B$15</f>
        <v/>
      </c>
      <c r="M16" s="53">
        <f>'假设'!$B$27</f>
        <v/>
      </c>
      <c r="N16" s="53">
        <f>0</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92.86000061035156" customWidth="1" style="32" min="1" max="1"/>
    <col width="107" customWidth="1" style="32" min="2" max="2"/>
    <col width="87.56999969482422" customWidth="1" style="32" min="3" max="3"/>
    <col width="87.56999969482422" customWidth="1" style="32" min="4" max="4"/>
    <col width="87.56999969482422" customWidth="1" style="32" min="5" max="5"/>
    <col width="87.56999969482422" customWidth="1" style="32" min="6" max="6"/>
    <col width="87.56999969482422" customWidth="1" style="32" min="7" max="7"/>
    <col width="87.56999969482422" customWidth="1" style="32" min="8" max="8"/>
  </cols>
  <sheetData>
    <row r="1" ht="19.53125" customHeight="1" s="32">
      <c r="A1" s="9" t="inlineStr">
        <is>
          <t>来源与说明
——
Source and Description</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本工作簿的模式定义与利润逻辑沿用此前公开资料；本次修订仅改变建模约束：将“业主年总投入”设为恒定值。
——
The model definition and profit logic of this workbook follow previously published information; this revision only changes the modeling constraints: setting the "owner's total annual investment" to a constant value.</t>
        </is>
      </c>
      <c r="B3" s="1" t="n"/>
      <c r="C3" s="1" t="n"/>
      <c r="D3" s="1" t="n"/>
      <c r="E3" s="1" t="n"/>
      <c r="F3" s="1" t="n"/>
      <c r="G3" s="1" t="n"/>
      <c r="H3" s="1" t="n"/>
    </row>
    <row r="4"/>
    <row r="5" ht="15" customHeight="1" s="32">
      <c r="A5" s="20" t="inlineStr">
        <is>
          <t>主题
——
theme</t>
        </is>
      </c>
      <c r="B5" s="20" t="inlineStr">
        <is>
          <t>URL</t>
        </is>
      </c>
      <c r="C5" s="20" t="inlineStr">
        <is>
          <t>用途
——
use</t>
        </is>
      </c>
    </row>
    <row r="6" ht="15" customHeight="1" s="32">
      <c r="A6" t="inlineStr">
        <is>
          <t>EMC定义 / 回款逻辑
——
EMC definition/refund logic</t>
        </is>
      </c>
      <c r="B6" t="inlineStr">
        <is>
          <t>https://www.ndrc.gov.cn/fggz/fzzlgh/gjfzgh/202112/t20211224_1309459.html</t>
        </is>
      </c>
      <c r="C6" s="22" t="inlineStr">
        <is>
          <t>用于确认EMC通过节能收益或服务费回款
——
Used to confirm EMC’s repayment through energy saving income or service fees</t>
        </is>
      </c>
    </row>
    <row r="7" ht="15" customHeight="1" s="32">
      <c r="A7" t="inlineStr">
        <is>
          <t>GB/T 24915 合同类型
——
GB/T 24915 Contract Type</t>
        </is>
      </c>
      <c r="B7" t="inlineStr">
        <is>
          <t>https://www.cnis.ac.cn/bydt/bzyjzq/gbyjzq/201901/P020190223345417615159.pdf</t>
        </is>
      </c>
      <c r="C7" s="22" t="inlineStr">
        <is>
          <t>用于确认分享型、保证型、能源托管型、融资租赁型等合同结构
——
Used to confirm contract structures such as sharing type, guarantee type, energy custody type, and financial leasing type.</t>
        </is>
      </c>
    </row>
    <row r="8" ht="15" customHeight="1" s="32">
      <c r="A8" t="inlineStr">
        <is>
          <t>公共机构能源费用托管
——
Public agency energy bill escrow</t>
        </is>
      </c>
      <c r="B8" t="inlineStr">
        <is>
          <t>https://www.nhc.gov.cn/guihuaxxs/c100133/202210/64426e407ed944129269f1a9987d11fa/files/1733226470216_70623.pdf</t>
        </is>
      </c>
      <c r="C8" s="22" t="inlineStr">
        <is>
          <t>用于确认服务采购、5–10年期限、资产移交与预算口径
——
Used to confirm service procurement, 5-10 year term, asset transfer and budget caliber</t>
        </is>
      </c>
    </row>
    <row r="9" ht="15" customHeight="1" s="32">
      <c r="A9" t="inlineStr">
        <is>
          <t>路灯能源托管招标案例
——
Street light energy hosting bidding case</t>
        </is>
      </c>
      <c r="B9" t="inlineStr">
        <is>
          <t>https://ggzyjyzx.tl.gov.cn/jyxx/003002/003002002/20251204/b2640348-e1ba-48ad-90d4-e621d6dca0a2.html</t>
        </is>
      </c>
      <c r="C9" s="22" t="inlineStr">
        <is>
          <t>用于确认路灯托管通常包含改造、电费与维护
——
Used to confirm that street light hosting usually includes modification, electricity bills and maintenance</t>
        </is>
      </c>
    </row>
    <row r="10" ht="15" customHeight="1" s="32">
      <c r="A10" t="inlineStr">
        <is>
          <t>LaaS 官方说明
——
LaaS official description</t>
        </is>
      </c>
      <c r="B10" t="inlineStr">
        <is>
          <t>https://www.signify.com/global/signify-services/managed-services/light-as-a-service</t>
        </is>
      </c>
      <c r="C10" s="22" t="inlineStr">
        <is>
          <t>用于确认“买光服务，不是买系统”的逻辑
——
Used to confirm the logic of "buying all services, not buying systems"</t>
        </is>
      </c>
    </row>
    <row r="11" ht="15" customHeight="1" s="32">
      <c r="A11" t="inlineStr">
        <is>
          <t>LaaS 资产归属 / 残值
——
LaaS asset vesting/residual value</t>
        </is>
      </c>
      <c r="B11" t="inlineStr">
        <is>
          <t>https://www.ellenmacarthurfoundation.org/circular-examples/light-as-a-service</t>
        </is>
      </c>
      <c r="C11" s="22" t="inlineStr">
        <is>
          <t>用于确认服务商持有资产与终值/再部署逻辑
——
Used to confirm the assets held by the service provider and the terminal value/redeployment logic</t>
        </is>
      </c>
    </row>
    <row r="12" ht="15" customHeight="1" s="32">
      <c r="A12" t="inlineStr">
        <is>
          <t>路灯 lease-to-own
——
street light lease-to-own</t>
        </is>
      </c>
      <c r="B12" t="inlineStr">
        <is>
          <t>https://ppp.worldbank.org/print/pdf/node/3718</t>
        </is>
      </c>
      <c r="C12" s="22" t="inlineStr">
        <is>
          <t>用于确认路灯租赁/期满移交的交付结构
——
Delivery structure for confirmation of streetlight lease/end-of-term handover</t>
        </is>
      </c>
    </row>
  </sheetData>
  <mergeCells count="2">
    <mergeCell ref="A1:H2"/>
    <mergeCell ref="A3:H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0" customWidth="1" style="32" min="1" max="1"/>
    <col width="14" customWidth="1" style="32" min="2" max="2"/>
    <col width="14" customWidth="1" style="32" min="3" max="3"/>
    <col width="14" customWidth="1" style="32" min="4" max="4"/>
    <col width="14" customWidth="1" style="32" min="5" max="5"/>
    <col width="12" customWidth="1" style="32" min="6" max="6"/>
    <col width="12" customWidth="1" style="32" min="7" max="7"/>
    <col width="12" customWidth="1" style="32" min="8" max="8"/>
    <col width="40" customWidth="1" style="32" min="9" max="9"/>
  </cols>
  <sheetData>
    <row r="1" ht="18.310546875" customHeight="1" s="32">
      <c r="A1" s="38" t="inlineStr">
        <is>
          <t>逐年利润对比（从项目建成第1年开始）
——
Year-by-year profit comparison (starting from the first year of project completion)</t>
        </is>
      </c>
      <c r="B1" s="38" t="n"/>
      <c r="C1" s="38" t="n"/>
      <c r="D1" s="38" t="n"/>
      <c r="E1" s="38" t="n"/>
      <c r="F1" s="38" t="n"/>
      <c r="G1" s="38" t="n"/>
      <c r="H1" s="38" t="n"/>
      <c r="I1" s="38" t="n"/>
    </row>
    <row r="2" ht="36" customHeight="1" s="32">
      <c r="A2" s="22" t="inlineStr">
        <is>
          <t>口径说明：业主年总投入固定；下表只看建成后第1年至第10年的年度差异。设备商、EPC和核心服务方初始股权投入属于建设期一次性项目，不在年度运营差异中拉开模式差距。
——
Caliber explanation: The total annual investment of the owner is fixed; the following table only looks at the annual differences from the 1st to the 10th year after completion. The initial equity investment by equipment manufacturers, EPCs and core service providers is a one-time project during the construction period and does not widen the model gap in annual operating differences.</t>
        </is>
      </c>
      <c r="B2" s="22" t="n"/>
      <c r="C2" s="22" t="n"/>
      <c r="D2" s="22" t="n"/>
      <c r="E2" s="22" t="n"/>
      <c r="F2" s="22" t="n"/>
      <c r="G2" s="22" t="n"/>
      <c r="H2" s="22" t="n"/>
      <c r="I2" s="22" t="n"/>
    </row>
    <row r="3"/>
    <row r="4" ht="15" customHeight="1" s="32">
      <c r="A4" s="39" t="inlineStr">
        <is>
          <t>一、甲方逐年增量收益对比（相对改造前基线）
——
1. Comparison of Party A’s incremental income year by year (relative to the baseline before transformation)</t>
        </is>
      </c>
      <c r="B4" s="39" t="n"/>
      <c r="C4" s="39" t="n"/>
      <c r="D4" s="39" t="n"/>
      <c r="E4" s="39" t="n"/>
      <c r="F4" s="39" t="n"/>
      <c r="G4" s="39" t="n"/>
      <c r="H4" s="39" t="n"/>
      <c r="I4" s="39" t="n"/>
    </row>
    <row r="5" ht="15" customHeight="1" s="32">
      <c r="A5" s="41" t="inlineStr">
        <is>
          <t>年份
——
years</t>
        </is>
      </c>
      <c r="B5" s="41" t="inlineStr">
        <is>
          <t>EMC</t>
        </is>
      </c>
      <c r="C5" s="41" t="inlineStr">
        <is>
          <t>能源托管
——
Energy hosting</t>
        </is>
      </c>
      <c r="D5" s="41" t="inlineStr">
        <is>
          <t>LaaS</t>
        </is>
      </c>
      <c r="E5" s="41" t="inlineStr">
        <is>
          <t>租赁
——
lease</t>
        </is>
      </c>
      <c r="F5" s="41" t="inlineStr">
        <is>
          <t>年度最高
——
Highest of the year</t>
        </is>
      </c>
      <c r="G5" s="41" t="inlineStr">
        <is>
          <t>年度最低
——
lowest of the year</t>
        </is>
      </c>
      <c r="H5" s="41" t="inlineStr">
        <is>
          <t>差额
——
difference</t>
        </is>
      </c>
      <c r="I5" s="41" t="inlineStr">
        <is>
          <t>年度差异说明
——
Description of annual differences</t>
        </is>
      </c>
    </row>
    <row r="6" ht="22" customHeight="1" s="32">
      <c r="A6" t="n">
        <v>1</v>
      </c>
      <c r="B6" s="53">
        <f>'EMC模式'!H6</f>
        <v/>
      </c>
      <c r="C6" s="53">
        <f>'能源托管模式'!H6</f>
        <v/>
      </c>
      <c r="D6" s="53">
        <f>'LaaS模式'!H6</f>
        <v/>
      </c>
      <c r="E6" s="53">
        <f>'租赁模式'!H6</f>
        <v/>
      </c>
      <c r="F6" s="53">
        <f>MAX(B6:E6)</f>
        <v/>
      </c>
      <c r="G6" s="53">
        <f>MIN(B6:E6)</f>
        <v/>
      </c>
      <c r="H6" s="53">
        <f>F6-G6</f>
        <v/>
      </c>
      <c r="I6" s="22" t="inlineStr">
        <is>
          <t>前9年甲方收益一致，差异主要不在甲方侧而在服务方分配
——
In the first 9 years, Party A’s income is the same, and the difference is not mainly on Party A’s side but on the service side’s distribution.</t>
        </is>
      </c>
    </row>
    <row r="7" ht="22" customHeight="1" s="32">
      <c r="A7" t="n">
        <v>2</v>
      </c>
      <c r="B7" s="53">
        <f>'EMC模式'!H7</f>
        <v/>
      </c>
      <c r="C7" s="53">
        <f>'能源托管模式'!H7</f>
        <v/>
      </c>
      <c r="D7" s="53">
        <f>'LaaS模式'!H7</f>
        <v/>
      </c>
      <c r="E7" s="53">
        <f>'租赁模式'!H7</f>
        <v/>
      </c>
      <c r="F7" s="53">
        <f>MAX(B7:E7)</f>
        <v/>
      </c>
      <c r="G7" s="53">
        <f>MIN(B7:E7)</f>
        <v/>
      </c>
      <c r="H7" s="53">
        <f>F7-G7</f>
        <v/>
      </c>
      <c r="I7" s="22" t="inlineStr">
        <is>
          <t>前9年甲方收益一致，差异主要不在甲方侧而在服务方分配
——
In the first 9 years, Party A’s income is the same, and the difference is not mainly on Party A’s side but on the service side’s distribution.</t>
        </is>
      </c>
    </row>
    <row r="8" ht="22" customHeight="1" s="32">
      <c r="A8" t="n">
        <v>3</v>
      </c>
      <c r="B8" s="53">
        <f>'EMC模式'!H8</f>
        <v/>
      </c>
      <c r="C8" s="53">
        <f>'能源托管模式'!H8</f>
        <v/>
      </c>
      <c r="D8" s="53">
        <f>'LaaS模式'!H8</f>
        <v/>
      </c>
      <c r="E8" s="53">
        <f>'租赁模式'!H8</f>
        <v/>
      </c>
      <c r="F8" s="53">
        <f>MAX(B8:E8)</f>
        <v/>
      </c>
      <c r="G8" s="53">
        <f>MIN(B8:E8)</f>
        <v/>
      </c>
      <c r="H8" s="53">
        <f>F8-G8</f>
        <v/>
      </c>
      <c r="I8" s="22" t="inlineStr">
        <is>
          <t>前9年甲方收益一致，差异主要不在甲方侧而在服务方分配
——
In the first 9 years, Party A’s income is the same, and the difference is not mainly on Party A’s side but on the service side’s distribution.</t>
        </is>
      </c>
    </row>
    <row r="9" ht="22" customHeight="1" s="32">
      <c r="A9" t="n">
        <v>4</v>
      </c>
      <c r="B9" s="53">
        <f>'EMC模式'!H9</f>
        <v/>
      </c>
      <c r="C9" s="53">
        <f>'能源托管模式'!H9</f>
        <v/>
      </c>
      <c r="D9" s="53">
        <f>'LaaS模式'!H9</f>
        <v/>
      </c>
      <c r="E9" s="53">
        <f>'租赁模式'!H9</f>
        <v/>
      </c>
      <c r="F9" s="53">
        <f>MAX(B9:E9)</f>
        <v/>
      </c>
      <c r="G9" s="53">
        <f>MIN(B9:E9)</f>
        <v/>
      </c>
      <c r="H9" s="53">
        <f>F9-G9</f>
        <v/>
      </c>
      <c r="I9" s="22" t="inlineStr">
        <is>
          <t>前9年甲方收益一致，差异主要不在甲方侧而在服务方分配
——
In the first 9 years, Party A’s income is the same, and the difference is not mainly on Party A’s side but on the service side’s distribution.</t>
        </is>
      </c>
    </row>
    <row r="10" ht="22" customHeight="1" s="32">
      <c r="A10" t="n">
        <v>5</v>
      </c>
      <c r="B10" s="53">
        <f>'EMC模式'!H10</f>
        <v/>
      </c>
      <c r="C10" s="53">
        <f>'能源托管模式'!H10</f>
        <v/>
      </c>
      <c r="D10" s="53">
        <f>'LaaS模式'!H10</f>
        <v/>
      </c>
      <c r="E10" s="53">
        <f>'租赁模式'!H10</f>
        <v/>
      </c>
      <c r="F10" s="53">
        <f>MAX(B10:E10)</f>
        <v/>
      </c>
      <c r="G10" s="53">
        <f>MIN(B10:E10)</f>
        <v/>
      </c>
      <c r="H10" s="53">
        <f>F10-G10</f>
        <v/>
      </c>
      <c r="I10" s="22" t="inlineStr">
        <is>
          <t>前9年甲方收益一致，差异主要不在甲方侧而在服务方分配
——
In the first 9 years, Party A’s income is the same, and the difference is not mainly on Party A’s side but on the service side’s distribution.</t>
        </is>
      </c>
    </row>
    <row r="11" ht="22" customHeight="1" s="32">
      <c r="A11" t="n">
        <v>6</v>
      </c>
      <c r="B11" s="53">
        <f>'EMC模式'!H11</f>
        <v/>
      </c>
      <c r="C11" s="53">
        <f>'能源托管模式'!H11</f>
        <v/>
      </c>
      <c r="D11" s="53">
        <f>'LaaS模式'!H11</f>
        <v/>
      </c>
      <c r="E11" s="53">
        <f>'租赁模式'!H11</f>
        <v/>
      </c>
      <c r="F11" s="53">
        <f>MAX(B11:E11)</f>
        <v/>
      </c>
      <c r="G11" s="53">
        <f>MIN(B11:E11)</f>
        <v/>
      </c>
      <c r="H11" s="53">
        <f>F11-G11</f>
        <v/>
      </c>
      <c r="I11" s="22" t="inlineStr">
        <is>
          <t>前9年甲方收益一致，差异主要不在甲方侧而在服务方分配
——
In the first 9 years, Party A’s income is the same, and the difference is not mainly on Party A’s side but on the service side’s distribution.</t>
        </is>
      </c>
    </row>
    <row r="12" ht="22" customHeight="1" s="32">
      <c r="A12" t="n">
        <v>7</v>
      </c>
      <c r="B12" s="53">
        <f>'EMC模式'!H12</f>
        <v/>
      </c>
      <c r="C12" s="53">
        <f>'能源托管模式'!H12</f>
        <v/>
      </c>
      <c r="D12" s="53">
        <f>'LaaS模式'!H12</f>
        <v/>
      </c>
      <c r="E12" s="53">
        <f>'租赁模式'!H12</f>
        <v/>
      </c>
      <c r="F12" s="53">
        <f>MAX(B12:E12)</f>
        <v/>
      </c>
      <c r="G12" s="53">
        <f>MIN(B12:E12)</f>
        <v/>
      </c>
      <c r="H12" s="53">
        <f>F12-G12</f>
        <v/>
      </c>
      <c r="I12" s="22" t="inlineStr">
        <is>
          <t>前9年甲方收益一致，差异主要不在甲方侧而在服务方分配
——
In the first 9 years, Party A’s income is the same, and the difference is not mainly on Party A’s side but on the service side’s distribution.</t>
        </is>
      </c>
    </row>
    <row r="13" ht="22" customHeight="1" s="32">
      <c r="A13" t="n">
        <v>8</v>
      </c>
      <c r="B13" s="53">
        <f>'EMC模式'!H13</f>
        <v/>
      </c>
      <c r="C13" s="53">
        <f>'能源托管模式'!H13</f>
        <v/>
      </c>
      <c r="D13" s="53">
        <f>'LaaS模式'!H13</f>
        <v/>
      </c>
      <c r="E13" s="53">
        <f>'租赁模式'!H13</f>
        <v/>
      </c>
      <c r="F13" s="53">
        <f>MAX(B13:E13)</f>
        <v/>
      </c>
      <c r="G13" s="53">
        <f>MIN(B13:E13)</f>
        <v/>
      </c>
      <c r="H13" s="53">
        <f>F13-G13</f>
        <v/>
      </c>
      <c r="I13" s="22" t="inlineStr">
        <is>
          <t>前9年甲方收益一致，差异主要不在甲方侧而在服务方分配
——
In the first 9 years, Party A’s income is the same, and the difference is not mainly on Party A’s side but on the service side’s distribution.</t>
        </is>
      </c>
    </row>
    <row r="14" ht="22" customHeight="1" s="32">
      <c r="A14" t="n">
        <v>9</v>
      </c>
      <c r="B14" s="53">
        <f>'EMC模式'!H14</f>
        <v/>
      </c>
      <c r="C14" s="53">
        <f>'能源托管模式'!H14</f>
        <v/>
      </c>
      <c r="D14" s="53">
        <f>'LaaS模式'!H14</f>
        <v/>
      </c>
      <c r="E14" s="53">
        <f>'租赁模式'!H14</f>
        <v/>
      </c>
      <c r="F14" s="53">
        <f>MAX(B14:E14)</f>
        <v/>
      </c>
      <c r="G14" s="53">
        <f>MIN(B14:E14)</f>
        <v/>
      </c>
      <c r="H14" s="53">
        <f>F14-G14</f>
        <v/>
      </c>
      <c r="I14" s="22" t="inlineStr">
        <is>
          <t>前9年甲方收益一致，差异主要不在甲方侧而在服务方分配
——
In the first 9 years, Party A’s income is the same, and the difference is not mainly on Party A’s side but on the service side’s distribution.</t>
        </is>
      </c>
    </row>
    <row r="15" ht="22" customHeight="1" s="32">
      <c r="A15" t="n">
        <v>10</v>
      </c>
      <c r="B15" s="53">
        <f>'EMC模式'!H15</f>
        <v/>
      </c>
      <c r="C15" s="53">
        <f>'能源托管模式'!H15</f>
        <v/>
      </c>
      <c r="D15" s="53">
        <f>'LaaS模式'!H15</f>
        <v/>
      </c>
      <c r="E15" s="53">
        <f>'租赁模式'!H15</f>
        <v/>
      </c>
      <c r="F15" s="53">
        <f>MAX(B15:E15)</f>
        <v/>
      </c>
      <c r="G15" s="53">
        <f>MIN(B15:E15)</f>
        <v/>
      </c>
      <c r="H15" s="53">
        <f>F15-G15</f>
        <v/>
      </c>
      <c r="I15" s="22" t="inlineStr">
        <is>
          <t>第10年开始出现终值归属差异；LaaS默认终值不归甲方
——
Differences in terminal value vesting begin to appear in the 10th year; LaaS defaults to a terminal value that does not belong to Party A</t>
        </is>
      </c>
    </row>
    <row r="16" ht="22" customHeight="1" s="32">
      <c r="A16" s="43" t="inlineStr">
        <is>
          <t>合计
——
total</t>
        </is>
      </c>
      <c r="B16" s="59">
        <f>SUM(B6:B15)</f>
        <v/>
      </c>
      <c r="C16" s="59">
        <f>SUM(C6:C15)</f>
        <v/>
      </c>
      <c r="D16" s="59">
        <f>SUM(D6:D15)</f>
        <v/>
      </c>
      <c r="E16" s="59">
        <f>SUM(E6:E15)</f>
        <v/>
      </c>
      <c r="F16" s="59">
        <f>SUM(F6:F15)</f>
        <v/>
      </c>
      <c r="G16" s="59">
        <f>SUM(G6:G15)</f>
        <v/>
      </c>
      <c r="H16" s="59">
        <f>SUM(H6:H15)</f>
        <v/>
      </c>
      <c r="I16" s="44" t="inlineStr">
        <is>
          <t>10年累计差异
——
10-year cumulative difference</t>
        </is>
      </c>
    </row>
    <row r="17"/>
    <row r="18"/>
    <row r="19" ht="15" customHeight="1" s="32">
      <c r="A19" s="39" t="inlineStr">
        <is>
          <t>二、核心服务方逐年净经营现金对比（未扣建设期初始股权投入）
——
2. Comparison of net operating cash of core service providers year by year (without deducting the initial equity investment during the construction period)</t>
        </is>
      </c>
      <c r="B19" s="39" t="n"/>
      <c r="C19" s="39" t="n"/>
      <c r="D19" s="39" t="n"/>
      <c r="E19" s="39" t="n"/>
      <c r="F19" s="39" t="n"/>
      <c r="G19" s="39" t="n"/>
      <c r="H19" s="39" t="n"/>
      <c r="I19" s="39" t="n"/>
    </row>
    <row r="20" ht="15" customHeight="1" s="32">
      <c r="A20" s="41" t="inlineStr">
        <is>
          <t>年份
——
years</t>
        </is>
      </c>
      <c r="B20" s="41" t="inlineStr">
        <is>
          <t>EMC</t>
        </is>
      </c>
      <c r="C20" s="41" t="inlineStr">
        <is>
          <t>能源托管
——
Energy hosting</t>
        </is>
      </c>
      <c r="D20" s="41" t="inlineStr">
        <is>
          <t>LaaS</t>
        </is>
      </c>
      <c r="E20" s="41" t="inlineStr">
        <is>
          <t>租赁
——
lease</t>
        </is>
      </c>
      <c r="F20" s="41" t="inlineStr">
        <is>
          <t>年度最高
——
Highest of the year</t>
        </is>
      </c>
      <c r="G20" s="41" t="inlineStr">
        <is>
          <t>年度最低
——
lowest of the year</t>
        </is>
      </c>
      <c r="H20" s="41" t="inlineStr">
        <is>
          <t>差额
——
difference</t>
        </is>
      </c>
      <c r="I20" s="41" t="inlineStr">
        <is>
          <t>年度差异说明
——
Description of annual differences</t>
        </is>
      </c>
    </row>
    <row r="21" ht="22" customHeight="1" s="32">
      <c r="A21" t="n">
        <v>1</v>
      </c>
      <c r="B21" s="53">
        <f>'EMC模式'!K7-'EMC模式'!L7-'EMC模式'!M7+'EMC模式'!N7</f>
        <v/>
      </c>
      <c r="C21" s="53">
        <f>'能源托管模式'!K7-'能源托管模式'!L7-'能源托管模式'!M7+'能源托管模式'!N7</f>
        <v/>
      </c>
      <c r="D21" s="53">
        <f>'LaaS模式'!K7-'LaaS模式'!L7-'LaaS模式'!M7+'LaaS模式'!N7</f>
        <v/>
      </c>
      <c r="E21" s="53">
        <f>'租赁模式'!K7-'租赁模式'!L7-'租赁模式'!M7+'租赁模式'!N7</f>
        <v/>
      </c>
      <c r="F21" s="53">
        <f>MAX(B21:E21)</f>
        <v/>
      </c>
      <c r="G21" s="53">
        <f>MIN(B21:E21)</f>
        <v/>
      </c>
      <c r="H21" s="53">
        <f>F21-G21</f>
        <v/>
      </c>
      <c r="I21" s="22" t="inlineStr">
        <is>
          <t>年度差异主要来自：服务费口径不同 + 谁承担运维成本；债务条件相同
——
The annual difference mainly comes from: different service fee caliber + who bears the operation and maintenance costs; the same debt conditions</t>
        </is>
      </c>
    </row>
    <row r="22" ht="22" customHeight="1" s="32">
      <c r="A22" t="n">
        <v>2</v>
      </c>
      <c r="B22" s="53">
        <f>'EMC模式'!K8-'EMC模式'!L8-'EMC模式'!M8+'EMC模式'!N8</f>
        <v/>
      </c>
      <c r="C22" s="53">
        <f>'能源托管模式'!K8-'能源托管模式'!L8-'能源托管模式'!M8+'能源托管模式'!N8</f>
        <v/>
      </c>
      <c r="D22" s="53">
        <f>'LaaS模式'!K8-'LaaS模式'!L8-'LaaS模式'!M8+'LaaS模式'!N8</f>
        <v/>
      </c>
      <c r="E22" s="53">
        <f>'租赁模式'!K8-'租赁模式'!L8-'租赁模式'!M8+'租赁模式'!N8</f>
        <v/>
      </c>
      <c r="F22" s="53">
        <f>MAX(B22:E22)</f>
        <v/>
      </c>
      <c r="G22" s="53">
        <f>MIN(B22:E22)</f>
        <v/>
      </c>
      <c r="H22" s="53">
        <f>F22-G22</f>
        <v/>
      </c>
      <c r="I22" s="22" t="inlineStr">
        <is>
          <t>年度差异主要来自：服务费口径不同 + 谁承担运维成本；债务条件相同
——
The annual difference mainly comes from: different service fee caliber + who bears the operation and maintenance costs; the same debt conditions</t>
        </is>
      </c>
    </row>
    <row r="23" ht="22" customHeight="1" s="32">
      <c r="A23" t="n">
        <v>3</v>
      </c>
      <c r="B23" s="53">
        <f>'EMC模式'!K9-'EMC模式'!L9-'EMC模式'!M9+'EMC模式'!N9</f>
        <v/>
      </c>
      <c r="C23" s="53">
        <f>'能源托管模式'!K9-'能源托管模式'!L9-'能源托管模式'!M9+'能源托管模式'!N9</f>
        <v/>
      </c>
      <c r="D23" s="53">
        <f>'LaaS模式'!K9-'LaaS模式'!L9-'LaaS模式'!M9+'LaaS模式'!N9</f>
        <v/>
      </c>
      <c r="E23" s="53">
        <f>'租赁模式'!K9-'租赁模式'!L9-'租赁模式'!M9+'租赁模式'!N9</f>
        <v/>
      </c>
      <c r="F23" s="53">
        <f>MAX(B23:E23)</f>
        <v/>
      </c>
      <c r="G23" s="53">
        <f>MIN(B23:E23)</f>
        <v/>
      </c>
      <c r="H23" s="53">
        <f>F23-G23</f>
        <v/>
      </c>
      <c r="I23" s="22" t="inlineStr">
        <is>
          <t>年度差异主要来自：服务费口径不同 + 谁承担运维成本；债务条件相同
——
The annual difference mainly comes from: different service fee caliber + who bears the operation and maintenance costs; the same debt conditions</t>
        </is>
      </c>
    </row>
    <row r="24" ht="22" customHeight="1" s="32">
      <c r="A24" t="n">
        <v>4</v>
      </c>
      <c r="B24" s="53">
        <f>'EMC模式'!K10-'EMC模式'!L10-'EMC模式'!M10+'EMC模式'!N10</f>
        <v/>
      </c>
      <c r="C24" s="53">
        <f>'能源托管模式'!K10-'能源托管模式'!L10-'能源托管模式'!M10+'能源托管模式'!N10</f>
        <v/>
      </c>
      <c r="D24" s="53">
        <f>'LaaS模式'!K10-'LaaS模式'!L10-'LaaS模式'!M10+'LaaS模式'!N10</f>
        <v/>
      </c>
      <c r="E24" s="53">
        <f>'租赁模式'!K10-'租赁模式'!L10-'租赁模式'!M10+'租赁模式'!N10</f>
        <v/>
      </c>
      <c r="F24" s="53">
        <f>MAX(B24:E24)</f>
        <v/>
      </c>
      <c r="G24" s="53">
        <f>MIN(B24:E24)</f>
        <v/>
      </c>
      <c r="H24" s="53">
        <f>F24-G24</f>
        <v/>
      </c>
      <c r="I24" s="22" t="inlineStr">
        <is>
          <t>年度差异主要来自：服务费口径不同 + 谁承担运维成本；债务条件相同
——
The annual difference mainly comes from: different service fee caliber + who bears the operation and maintenance costs; the same debt conditions</t>
        </is>
      </c>
    </row>
    <row r="25" ht="22" customHeight="1" s="32">
      <c r="A25" t="n">
        <v>5</v>
      </c>
      <c r="B25" s="53">
        <f>'EMC模式'!K11-'EMC模式'!L11-'EMC模式'!M11+'EMC模式'!N11</f>
        <v/>
      </c>
      <c r="C25" s="53">
        <f>'能源托管模式'!K11-'能源托管模式'!L11-'能源托管模式'!M11+'能源托管模式'!N11</f>
        <v/>
      </c>
      <c r="D25" s="53">
        <f>'LaaS模式'!K11-'LaaS模式'!L11-'LaaS模式'!M11+'LaaS模式'!N11</f>
        <v/>
      </c>
      <c r="E25" s="53">
        <f>'租赁模式'!K11-'租赁模式'!L11-'租赁模式'!M11+'租赁模式'!N11</f>
        <v/>
      </c>
      <c r="F25" s="53">
        <f>MAX(B25:E25)</f>
        <v/>
      </c>
      <c r="G25" s="53">
        <f>MIN(B25:E25)</f>
        <v/>
      </c>
      <c r="H25" s="53">
        <f>F25-G25</f>
        <v/>
      </c>
      <c r="I25" s="22" t="inlineStr">
        <is>
          <t>年度差异主要来自：服务费口径不同 + 谁承担运维成本；债务条件相同
——
The annual difference mainly comes from: different service fee caliber + who bears the operation and maintenance costs; the same debt conditions</t>
        </is>
      </c>
    </row>
    <row r="26" ht="22" customHeight="1" s="32">
      <c r="A26" t="n">
        <v>6</v>
      </c>
      <c r="B26" s="53">
        <f>'EMC模式'!K12-'EMC模式'!L12-'EMC模式'!M12+'EMC模式'!N12</f>
        <v/>
      </c>
      <c r="C26" s="53">
        <f>'能源托管模式'!K12-'能源托管模式'!L12-'能源托管模式'!M12+'能源托管模式'!N12</f>
        <v/>
      </c>
      <c r="D26" s="53">
        <f>'LaaS模式'!K12-'LaaS模式'!L12-'LaaS模式'!M12+'LaaS模式'!N12</f>
        <v/>
      </c>
      <c r="E26" s="53">
        <f>'租赁模式'!K12-'租赁模式'!L12-'租赁模式'!M12+'租赁模式'!N12</f>
        <v/>
      </c>
      <c r="F26" s="53">
        <f>MAX(B26:E26)</f>
        <v/>
      </c>
      <c r="G26" s="53">
        <f>MIN(B26:E26)</f>
        <v/>
      </c>
      <c r="H26" s="53">
        <f>F26-G26</f>
        <v/>
      </c>
      <c r="I26" s="22" t="inlineStr">
        <is>
          <t>年度差异主要来自：服务费口径不同 + 谁承担运维成本；债务条件相同
——
The annual difference mainly comes from: different service fee caliber + who bears the operation and maintenance costs; the same debt conditions</t>
        </is>
      </c>
    </row>
    <row r="27" ht="22" customHeight="1" s="32">
      <c r="A27" t="n">
        <v>7</v>
      </c>
      <c r="B27" s="53">
        <f>'EMC模式'!K13-'EMC模式'!L13-'EMC模式'!M13+'EMC模式'!N13</f>
        <v/>
      </c>
      <c r="C27" s="53">
        <f>'能源托管模式'!K13-'能源托管模式'!L13-'能源托管模式'!M13+'能源托管模式'!N13</f>
        <v/>
      </c>
      <c r="D27" s="53">
        <f>'LaaS模式'!K13-'LaaS模式'!L13-'LaaS模式'!M13+'LaaS模式'!N13</f>
        <v/>
      </c>
      <c r="E27" s="53">
        <f>'租赁模式'!K13-'租赁模式'!L13-'租赁模式'!M13+'租赁模式'!N13</f>
        <v/>
      </c>
      <c r="F27" s="53">
        <f>MAX(B27:E27)</f>
        <v/>
      </c>
      <c r="G27" s="53">
        <f>MIN(B27:E27)</f>
        <v/>
      </c>
      <c r="H27" s="53">
        <f>F27-G27</f>
        <v/>
      </c>
      <c r="I27" s="22" t="inlineStr">
        <is>
          <t>年度差异主要来自：服务费口径不同 + 谁承担运维成本；债务条件相同
——
The annual difference mainly comes from: different service fee caliber + who bears the operation and maintenance costs; the same debt conditions</t>
        </is>
      </c>
    </row>
    <row r="28" ht="22" customHeight="1" s="32">
      <c r="A28" t="n">
        <v>8</v>
      </c>
      <c r="B28" s="53">
        <f>'EMC模式'!K14-'EMC模式'!L14-'EMC模式'!M14+'EMC模式'!N14</f>
        <v/>
      </c>
      <c r="C28" s="53">
        <f>'能源托管模式'!K14-'能源托管模式'!L14-'能源托管模式'!M14+'能源托管模式'!N14</f>
        <v/>
      </c>
      <c r="D28" s="53">
        <f>'LaaS模式'!K14-'LaaS模式'!L14-'LaaS模式'!M14+'LaaS模式'!N14</f>
        <v/>
      </c>
      <c r="E28" s="53">
        <f>'租赁模式'!K14-'租赁模式'!L14-'租赁模式'!M14+'租赁模式'!N14</f>
        <v/>
      </c>
      <c r="F28" s="53">
        <f>MAX(B28:E28)</f>
        <v/>
      </c>
      <c r="G28" s="53">
        <f>MIN(B28:E28)</f>
        <v/>
      </c>
      <c r="H28" s="53">
        <f>F28-G28</f>
        <v/>
      </c>
      <c r="I28" s="22" t="inlineStr">
        <is>
          <t>年度差异主要来自：服务费口径不同 + 谁承担运维成本；债务条件相同
——
The annual difference mainly comes from: different service fee caliber + who bears the operation and maintenance costs; the same debt conditions</t>
        </is>
      </c>
    </row>
    <row r="29" ht="22" customHeight="1" s="32">
      <c r="A29" t="n">
        <v>9</v>
      </c>
      <c r="B29" s="53">
        <f>'EMC模式'!K15-'EMC模式'!L15-'EMC模式'!M15+'EMC模式'!N15</f>
        <v/>
      </c>
      <c r="C29" s="53">
        <f>'能源托管模式'!K15-'能源托管模式'!L15-'能源托管模式'!M15+'能源托管模式'!N15</f>
        <v/>
      </c>
      <c r="D29" s="53">
        <f>'LaaS模式'!K15-'LaaS模式'!L15-'LaaS模式'!M15+'LaaS模式'!N15</f>
        <v/>
      </c>
      <c r="E29" s="53">
        <f>'租赁模式'!K15-'租赁模式'!L15-'租赁模式'!M15+'租赁模式'!N15</f>
        <v/>
      </c>
      <c r="F29" s="53">
        <f>MAX(B29:E29)</f>
        <v/>
      </c>
      <c r="G29" s="53">
        <f>MIN(B29:E29)</f>
        <v/>
      </c>
      <c r="H29" s="53">
        <f>F29-G29</f>
        <v/>
      </c>
      <c r="I29" s="22" t="inlineStr">
        <is>
          <t>年度差异主要来自：服务费口径不同 + 谁承担运维成本；债务条件相同
——
The annual difference mainly comes from: different service fee caliber + who bears the operation and maintenance costs; the same debt conditions</t>
        </is>
      </c>
    </row>
    <row r="30" ht="22" customHeight="1" s="32">
      <c r="A30" t="n">
        <v>10</v>
      </c>
      <c r="B30" s="53">
        <f>'EMC模式'!K16-'EMC模式'!L16-'EMC模式'!M16+'EMC模式'!N16</f>
        <v/>
      </c>
      <c r="C30" s="53">
        <f>'能源托管模式'!K16-'能源托管模式'!L16-'能源托管模式'!M16+'能源托管模式'!N16</f>
        <v/>
      </c>
      <c r="D30" s="53">
        <f>'LaaS模式'!K16-'LaaS模式'!L16-'LaaS模式'!M16+'LaaS模式'!N16</f>
        <v/>
      </c>
      <c r="E30" s="53">
        <f>'租赁模式'!K16-'租赁模式'!L16-'租赁模式'!M16+'租赁模式'!N16</f>
        <v/>
      </c>
      <c r="F30" s="53">
        <f>MAX(B30:E30)</f>
        <v/>
      </c>
      <c r="G30" s="53">
        <f>MIN(B30:E30)</f>
        <v/>
      </c>
      <c r="H30" s="53">
        <f>F30-G30</f>
        <v/>
      </c>
      <c r="I30" s="22" t="inlineStr">
        <is>
          <t>第10年差异再叠加残值/终值归属；LaaS默认残值归服务方
——
The difference in the 10th year is then superimposed on the residual value/terminal value vesting; the default residual value of LaaS belongs to the service provider</t>
        </is>
      </c>
    </row>
    <row r="31" ht="22" customHeight="1" s="32">
      <c r="A31" s="43" t="inlineStr">
        <is>
          <t>合计
——
total</t>
        </is>
      </c>
      <c r="B31" s="59">
        <f>SUM(B21:B30)</f>
        <v/>
      </c>
      <c r="C31" s="59">
        <f>SUM(C21:C30)</f>
        <v/>
      </c>
      <c r="D31" s="59">
        <f>SUM(D21:D30)</f>
        <v/>
      </c>
      <c r="E31" s="59">
        <f>SUM(E21:E30)</f>
        <v/>
      </c>
      <c r="F31" s="59">
        <f>SUM(F21:F30)</f>
        <v/>
      </c>
      <c r="G31" s="59">
        <f>SUM(G21:G30)</f>
        <v/>
      </c>
      <c r="H31" s="59">
        <f>SUM(H21:H30)</f>
        <v/>
      </c>
      <c r="I31" s="44" t="inlineStr">
        <is>
          <t>10年经营期累计
——
Cumulative operation period of 10 years</t>
        </is>
      </c>
    </row>
    <row r="32"/>
    <row r="33"/>
    <row r="34" ht="15" customHeight="1" s="32">
      <c r="A34" s="39" t="inlineStr">
        <is>
          <t>三、建设期/不拉开年度模式差异的项目
——
3. Projects during construction period/without widening annual model differences</t>
        </is>
      </c>
      <c r="B34" s="39" t="n"/>
      <c r="C34" s="39" t="n"/>
      <c r="D34" s="39" t="n"/>
      <c r="E34" s="39" t="n"/>
    </row>
    <row r="35" ht="15" customHeight="1" s="32">
      <c r="A35" s="41" t="inlineStr">
        <is>
          <t>项目
——
project</t>
        </is>
      </c>
      <c r="B35" s="41" t="inlineStr">
        <is>
          <t>发生时点
——
time of occurrence</t>
        </is>
      </c>
      <c r="C35" s="41" t="inlineStr">
        <is>
          <t>金额/口径
——
Amount/Caliber</t>
        </is>
      </c>
      <c r="D35" s="41" t="inlineStr">
        <is>
          <t>四模式差异
——
Four mode differences</t>
        </is>
      </c>
      <c r="E35" s="41" t="inlineStr">
        <is>
          <t>说明
——
illustrate</t>
        </is>
      </c>
    </row>
    <row r="36" ht="22" customHeight="1" s="32">
      <c r="A36" t="inlineStr">
        <is>
          <t>设备商利润
——
Equipment manufacturer profit</t>
        </is>
      </c>
      <c r="B36" t="inlineStr">
        <is>
          <t>建设期
——
Construction period</t>
        </is>
      </c>
      <c r="C36" s="53">
        <f>'汇总对比'!B8</f>
        <v/>
      </c>
      <c r="D36" t="inlineStr">
        <is>
          <t>无
——
none</t>
        </is>
      </c>
      <c r="E36" s="22" t="inlineStr">
        <is>
          <t>同一CAPEX口径下，设备商利润在建设期确认，四模式相同
——
Under the same CAPEX caliber, the equipment manufacturer's profits are recognized during the construction period, and the four models are the same.</t>
        </is>
      </c>
    </row>
    <row r="37" ht="22" customHeight="1" s="32">
      <c r="A37" t="inlineStr">
        <is>
          <t>EPC利润
——
EPC profit</t>
        </is>
      </c>
      <c r="B37" t="inlineStr">
        <is>
          <t>建设期
——
Construction period</t>
        </is>
      </c>
      <c r="C37" s="53">
        <f>'汇总对比'!B9</f>
        <v/>
      </c>
      <c r="D37" t="inlineStr">
        <is>
          <t>无
——
none</t>
        </is>
      </c>
      <c r="E37" s="22" t="inlineStr">
        <is>
          <t>同一CAPEX口径下，EPC利润在建设期确认，四模式相同
——
Under the same CAPEX caliber, EPC profits are recognized during the construction period, and the four models are the same.</t>
        </is>
      </c>
    </row>
    <row r="38" ht="22" customHeight="1" s="32">
      <c r="A38" t="inlineStr">
        <is>
          <t>核心服务方初始股权投入
——
Initial equity investment from core service provider</t>
        </is>
      </c>
      <c r="B38" t="inlineStr">
        <is>
          <t>建设期
——
Construction period</t>
        </is>
      </c>
      <c r="C38" s="53">
        <f>'假设'!B8*(1-'假设'!B17)</f>
        <v/>
      </c>
      <c r="D38" t="inlineStr">
        <is>
          <t>无
——
none</t>
        </is>
      </c>
      <c r="E38" s="22" t="inlineStr">
        <is>
          <t>四模式均按同一资本金比例投入；它影响最终净收益，但不影响第1-10年的年度经营差异
——
The four models all invest according to the same capital ratio; it affects the final net income, but does not affect the annual operating difference in years 1-10</t>
        </is>
      </c>
    </row>
    <row r="39" ht="22" customHeight="1" s="32">
      <c r="A39" t="inlineStr">
        <is>
          <t>资金方净息差
——
Funding side net interest margin</t>
        </is>
      </c>
      <c r="B39" t="inlineStr">
        <is>
          <t>第1-10年
——
Years 1-10</t>
        </is>
      </c>
      <c r="C39" s="53">
        <f>'汇总对比'!B10</f>
        <v/>
      </c>
      <c r="D39" t="inlineStr">
        <is>
          <t>无
——
none</t>
        </is>
      </c>
      <c r="E39" s="22" t="inlineStr">
        <is>
          <t>融资比例、利率、资金成本相同，因此资金方收益基本不拉开模式差距
——
The financing ratio, interest rate, and capital cost are the same, so the income of the financing side basically does not widen the gap between the models.</t>
        </is>
      </c>
    </row>
  </sheetData>
  <conditionalFormatting sqref="H6:H16">
    <cfRule type="dataBar" priority="1">
      <dataBar>
        <cfvo type="min"/>
        <cfvo type="max"/>
        <color rgb="FFA5A5A5"/>
      </dataBar>
    </cfRule>
  </conditionalFormatting>
  <conditionalFormatting sqref="H21:H31">
    <cfRule type="dataBar" priority="2">
      <dataBar>
        <cfvo type="min"/>
        <cfvo type="max"/>
        <color rgb="FFA5A5A5"/>
      </dataBar>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12" customWidth="1" style="32" min="1" max="1"/>
    <col width="8" customWidth="1" style="32" min="2" max="2"/>
    <col width="13" customWidth="1" style="32" min="3" max="3"/>
    <col width="12" customWidth="1" style="32" min="4" max="4"/>
    <col width="12" customWidth="1" style="32" min="5" max="5"/>
    <col width="15" customWidth="1" style="32" min="6" max="6"/>
    <col width="12" customWidth="1" style="32" min="7" max="7"/>
    <col width="12" customWidth="1" style="32" min="8" max="8"/>
    <col width="12" customWidth="1" style="32" min="9" max="9"/>
    <col width="12" customWidth="1" style="32" min="10" max="10"/>
    <col width="12" customWidth="1" style="32" min="11" max="11"/>
    <col width="11" customWidth="1" style="32" min="12" max="12"/>
    <col width="14" customWidth="1" style="32" min="13" max="13"/>
    <col width="12" customWidth="1" style="32" min="14" max="14"/>
    <col width="12" customWidth="1" style="32" min="15" max="15"/>
    <col width="12" customWidth="1" style="32" min="16" max="16"/>
    <col width="13" customWidth="1" style="32" min="17" max="17"/>
    <col width="34" customWidth="1" style="32" min="18" max="18"/>
  </cols>
  <sheetData>
    <row r="1" ht="18.310546875" customHeight="1" s="32">
      <c r="A1" s="46" t="inlineStr">
        <is>
          <t>年度差异来源拆解（逐年看利润差在哪里）
——
Dismantling the sources of annual differences (see where the profit difference is year by year)</t>
        </is>
      </c>
      <c r="B1" s="46" t="n"/>
      <c r="C1" s="46" t="n"/>
      <c r="D1" s="46" t="n"/>
      <c r="E1" s="46" t="n"/>
      <c r="F1" s="46" t="n"/>
      <c r="G1" s="46" t="n"/>
      <c r="H1" s="46" t="n"/>
      <c r="I1" s="46" t="n"/>
      <c r="J1" s="46" t="n"/>
      <c r="K1" s="46" t="n"/>
      <c r="L1" s="46" t="n"/>
      <c r="M1" s="46" t="n"/>
      <c r="N1" s="46" t="n"/>
      <c r="O1" s="46" t="n"/>
      <c r="P1" s="46" t="n"/>
      <c r="Q1" s="46" t="n"/>
      <c r="R1" s="46" t="n"/>
    </row>
    <row r="2" ht="36" customHeight="1" s="32">
      <c r="A2" s="22" t="inlineStr">
        <is>
          <t>阅读方法：先看甲方侧的D~H列，再看核心服务方侧的I~Q列。与EMC相比，差额到底来自“收入更多”“运维成本更高/更低”还是“第10年残值归属”，都在同一行直接展开。
——
Reading method: First look at columns D~H on Party A's side, and then look at columns I~Q on the core service side. Compared with EMC, whether the difference comes from "more revenue", "higher/lower operation and maintenance costs" or "residual value vesting in the 10th year" are all directly unfolded in the same line.</t>
        </is>
      </c>
      <c r="B2" s="22" t="n"/>
      <c r="C2" s="22" t="n"/>
      <c r="D2" s="22" t="n"/>
      <c r="E2" s="22" t="n"/>
      <c r="F2" s="22" t="n"/>
      <c r="G2" s="22" t="n"/>
      <c r="H2" s="22" t="n"/>
      <c r="I2" s="22" t="n"/>
      <c r="J2" s="22" t="n"/>
      <c r="K2" s="22" t="n"/>
      <c r="L2" s="22" t="n"/>
      <c r="M2" s="22" t="n"/>
      <c r="N2" s="22" t="n"/>
      <c r="O2" s="22" t="n"/>
      <c r="P2" s="22" t="n"/>
      <c r="Q2" s="22" t="n"/>
      <c r="R2" s="22" t="n"/>
    </row>
    <row r="3"/>
    <row r="4" ht="15" customHeight="1" s="32">
      <c r="A4" s="41" t="inlineStr">
        <is>
          <t>模式
——
model</t>
        </is>
      </c>
      <c r="B4" s="41" t="inlineStr">
        <is>
          <t>年份
——
years</t>
        </is>
      </c>
      <c r="C4" s="41" t="inlineStr">
        <is>
          <t>业主年总投入
——
Owner’s total annual investment</t>
        </is>
      </c>
      <c r="D4" s="41" t="inlineStr">
        <is>
          <t>业主自付电费
——
Owner pays electricity bill</t>
        </is>
      </c>
      <c r="E4" s="41" t="inlineStr">
        <is>
          <t>业主自付运维
——
Owner pays for O&amp;M</t>
        </is>
      </c>
      <c r="F4" s="41" t="inlineStr">
        <is>
          <t>支付给核心服务方
——
Pay to core service provider</t>
        </is>
      </c>
      <c r="G4" s="41" t="inlineStr">
        <is>
          <t>甲方增量收益
——
Party A’s incremental income</t>
        </is>
      </c>
      <c r="H4" s="41" t="inlineStr">
        <is>
          <t>甲方较EMC差额
——
The difference between Party A and EMC</t>
        </is>
      </c>
      <c r="I4" s="41" t="inlineStr">
        <is>
          <t>核心服务方收入
——
Core service provider income</t>
        </is>
      </c>
      <c r="J4" s="41" t="inlineStr">
        <is>
          <t>直接运营成本
——
direct operating costs</t>
        </is>
      </c>
      <c r="K4" s="41" t="inlineStr">
        <is>
          <t>债务偿付
——
debt repayment</t>
        </is>
      </c>
      <c r="L4" s="41" t="inlineStr">
        <is>
          <t>残值归服务方
——
The residual value belongs to the service provider</t>
        </is>
      </c>
      <c r="M4" s="41" t="inlineStr">
        <is>
          <t>核心服务方净经营现金
——
Core service side net operating cash</t>
        </is>
      </c>
      <c r="N4" s="41" t="inlineStr">
        <is>
          <t>收入较EMC差额
——
The difference between income and EMC</t>
        </is>
      </c>
      <c r="O4" s="41" t="inlineStr">
        <is>
          <t>运营成本较EMC差额
——
The difference between operating costs and EMC</t>
        </is>
      </c>
      <c r="P4" s="41" t="inlineStr">
        <is>
          <t>残值较EMC差额
——
Difference between residual value and EMC</t>
        </is>
      </c>
      <c r="Q4" s="41" t="inlineStr">
        <is>
          <t>净现金较EMC差额
——
Net Cash to EMC Difference</t>
        </is>
      </c>
      <c r="R4" s="41" t="inlineStr">
        <is>
          <t>差异主要来自
——
The difference mainly comes from</t>
        </is>
      </c>
    </row>
    <row r="5"/>
    <row r="6" ht="22" customHeight="1" s="32">
      <c r="A6" t="inlineStr">
        <is>
          <t>EMC</t>
        </is>
      </c>
      <c r="B6" t="n">
        <v>1</v>
      </c>
      <c r="C6" s="53">
        <f>'假设'!E6</f>
        <v/>
      </c>
      <c r="D6" s="53">
        <f>'假设'!F6</f>
        <v/>
      </c>
      <c r="E6" s="53">
        <f>'假设'!G6</f>
        <v/>
      </c>
      <c r="F6" s="53">
        <f>'假设'!H6</f>
        <v/>
      </c>
      <c r="G6" s="53">
        <f>'EMC模式'!H6</f>
        <v/>
      </c>
      <c r="H6" s="53">
        <f>G6-'EMC模式'!H6</f>
        <v/>
      </c>
      <c r="I6" s="53">
        <f>'EMC模式'!K7</f>
        <v/>
      </c>
      <c r="J6" s="53">
        <f>'EMC模式'!L7</f>
        <v/>
      </c>
      <c r="K6" s="53">
        <f>'EMC模式'!M7</f>
        <v/>
      </c>
      <c r="L6" s="53">
        <f>'EMC模式'!N7</f>
        <v/>
      </c>
      <c r="M6" s="53">
        <f>I6-J6-K6+L6</f>
        <v/>
      </c>
      <c r="N6" s="53">
        <f>I6-'EMC模式'!K7</f>
        <v/>
      </c>
      <c r="O6" s="53">
        <f>J6-'EMC模式'!L7</f>
        <v/>
      </c>
      <c r="P6" s="53">
        <f>L6-'EMC模式'!N7</f>
        <v/>
      </c>
      <c r="Q6" s="53">
        <f>M6-('EMC模式'!K7-'EMC模式'!L7-'EMC模式'!M7+'EMC模式'!N7)</f>
        <v/>
      </c>
      <c r="R6" s="22" t="inlineStr">
        <is>
          <t>EMC作为基准模式：业主自付电费+运维，服务方主要赚节能服务费
——
EMC is used as the benchmark model: the owner pays for electricity + operation and maintenance, and the service provider mainly earns energy-saving service fees</t>
        </is>
      </c>
    </row>
    <row r="7" ht="22" customHeight="1" s="32">
      <c r="A7" t="inlineStr">
        <is>
          <t>EMC</t>
        </is>
      </c>
      <c r="B7" t="n">
        <v>2</v>
      </c>
      <c r="C7" s="53">
        <f>'假设'!E6</f>
        <v/>
      </c>
      <c r="D7" s="53">
        <f>'假设'!F6</f>
        <v/>
      </c>
      <c r="E7" s="53">
        <f>'假设'!G6</f>
        <v/>
      </c>
      <c r="F7" s="53">
        <f>'假设'!H6</f>
        <v/>
      </c>
      <c r="G7" s="53">
        <f>'EMC模式'!H7</f>
        <v/>
      </c>
      <c r="H7" s="53">
        <f>G7-'EMC模式'!H7</f>
        <v/>
      </c>
      <c r="I7" s="53">
        <f>'EMC模式'!K8</f>
        <v/>
      </c>
      <c r="J7" s="53">
        <f>'EMC模式'!L8</f>
        <v/>
      </c>
      <c r="K7" s="53">
        <f>'EMC模式'!M8</f>
        <v/>
      </c>
      <c r="L7" s="53">
        <f>'EMC模式'!N8</f>
        <v/>
      </c>
      <c r="M7" s="53">
        <f>I7-J7-K7+L7</f>
        <v/>
      </c>
      <c r="N7" s="53">
        <f>I7-'EMC模式'!K8</f>
        <v/>
      </c>
      <c r="O7" s="53">
        <f>J7-'EMC模式'!L8</f>
        <v/>
      </c>
      <c r="P7" s="53">
        <f>L7-'EMC模式'!N8</f>
        <v/>
      </c>
      <c r="Q7" s="53">
        <f>M7-('EMC模式'!K8-'EMC模式'!L8-'EMC模式'!M8+'EMC模式'!N8)</f>
        <v/>
      </c>
      <c r="R7" s="22" t="inlineStr">
        <is>
          <t>EMC作为基准模式：业主自付电费+运维，服务方主要赚节能服务费
——
EMC is used as the benchmark model: the owner pays for electricity + operation and maintenance, and the service provider mainly earns energy-saving service fees</t>
        </is>
      </c>
    </row>
    <row r="8" ht="22" customHeight="1" s="32">
      <c r="A8" t="inlineStr">
        <is>
          <t>EMC</t>
        </is>
      </c>
      <c r="B8" t="n">
        <v>3</v>
      </c>
      <c r="C8" s="53">
        <f>'假设'!E6</f>
        <v/>
      </c>
      <c r="D8" s="53">
        <f>'假设'!F6</f>
        <v/>
      </c>
      <c r="E8" s="53">
        <f>'假设'!G6</f>
        <v/>
      </c>
      <c r="F8" s="53">
        <f>'假设'!H6</f>
        <v/>
      </c>
      <c r="G8" s="53">
        <f>'EMC模式'!H8</f>
        <v/>
      </c>
      <c r="H8" s="53">
        <f>G8-'EMC模式'!H8</f>
        <v/>
      </c>
      <c r="I8" s="53">
        <f>'EMC模式'!K9</f>
        <v/>
      </c>
      <c r="J8" s="53">
        <f>'EMC模式'!L9</f>
        <v/>
      </c>
      <c r="K8" s="53">
        <f>'EMC模式'!M9</f>
        <v/>
      </c>
      <c r="L8" s="53">
        <f>'EMC模式'!N9</f>
        <v/>
      </c>
      <c r="M8" s="53">
        <f>I8-J8-K8+L8</f>
        <v/>
      </c>
      <c r="N8" s="53">
        <f>I8-'EMC模式'!K9</f>
        <v/>
      </c>
      <c r="O8" s="53">
        <f>J8-'EMC模式'!L9</f>
        <v/>
      </c>
      <c r="P8" s="53">
        <f>L8-'EMC模式'!N9</f>
        <v/>
      </c>
      <c r="Q8" s="53">
        <f>M8-('EMC模式'!K9-'EMC模式'!L9-'EMC模式'!M9+'EMC模式'!N9)</f>
        <v/>
      </c>
      <c r="R8" s="22" t="inlineStr">
        <is>
          <t>EMC作为基准模式：业主自付电费+运维，服务方主要赚节能服务费
——
EMC is used as the benchmark model: the owner pays for electricity + operation and maintenance, and the service provider mainly earns energy-saving service fees</t>
        </is>
      </c>
    </row>
    <row r="9" ht="22" customHeight="1" s="32">
      <c r="A9" t="inlineStr">
        <is>
          <t>EMC</t>
        </is>
      </c>
      <c r="B9" t="n">
        <v>4</v>
      </c>
      <c r="C9" s="53">
        <f>'假设'!E6</f>
        <v/>
      </c>
      <c r="D9" s="53">
        <f>'假设'!F6</f>
        <v/>
      </c>
      <c r="E9" s="53">
        <f>'假设'!G6</f>
        <v/>
      </c>
      <c r="F9" s="53">
        <f>'假设'!H6</f>
        <v/>
      </c>
      <c r="G9" s="53">
        <f>'EMC模式'!H9</f>
        <v/>
      </c>
      <c r="H9" s="53">
        <f>G9-'EMC模式'!H9</f>
        <v/>
      </c>
      <c r="I9" s="53">
        <f>'EMC模式'!K10</f>
        <v/>
      </c>
      <c r="J9" s="53">
        <f>'EMC模式'!L10</f>
        <v/>
      </c>
      <c r="K9" s="53">
        <f>'EMC模式'!M10</f>
        <v/>
      </c>
      <c r="L9" s="53">
        <f>'EMC模式'!N10</f>
        <v/>
      </c>
      <c r="M9" s="53">
        <f>I9-J9-K9+L9</f>
        <v/>
      </c>
      <c r="N9" s="53">
        <f>I9-'EMC模式'!K10</f>
        <v/>
      </c>
      <c r="O9" s="53">
        <f>J9-'EMC模式'!L10</f>
        <v/>
      </c>
      <c r="P9" s="53">
        <f>L9-'EMC模式'!N10</f>
        <v/>
      </c>
      <c r="Q9" s="53">
        <f>M9-('EMC模式'!K10-'EMC模式'!L10-'EMC模式'!M10+'EMC模式'!N10)</f>
        <v/>
      </c>
      <c r="R9" s="22" t="inlineStr">
        <is>
          <t>EMC作为基准模式：业主自付电费+运维，服务方主要赚节能服务费
——
EMC is used as the benchmark model: the owner pays for electricity + operation and maintenance, and the service provider mainly earns energy-saving service fees</t>
        </is>
      </c>
    </row>
    <row r="10" ht="22" customHeight="1" s="32">
      <c r="A10" t="inlineStr">
        <is>
          <t>EMC</t>
        </is>
      </c>
      <c r="B10" t="n">
        <v>5</v>
      </c>
      <c r="C10" s="53">
        <f>'假设'!E6</f>
        <v/>
      </c>
      <c r="D10" s="53">
        <f>'假设'!F6</f>
        <v/>
      </c>
      <c r="E10" s="53">
        <f>'假设'!G6</f>
        <v/>
      </c>
      <c r="F10" s="53">
        <f>'假设'!H6</f>
        <v/>
      </c>
      <c r="G10" s="53">
        <f>'EMC模式'!H10</f>
        <v/>
      </c>
      <c r="H10" s="53">
        <f>G10-'EMC模式'!H10</f>
        <v/>
      </c>
      <c r="I10" s="53">
        <f>'EMC模式'!K11</f>
        <v/>
      </c>
      <c r="J10" s="53">
        <f>'EMC模式'!L11</f>
        <v/>
      </c>
      <c r="K10" s="53">
        <f>'EMC模式'!M11</f>
        <v/>
      </c>
      <c r="L10" s="53">
        <f>'EMC模式'!N11</f>
        <v/>
      </c>
      <c r="M10" s="53">
        <f>I10-J10-K10+L10</f>
        <v/>
      </c>
      <c r="N10" s="53">
        <f>I10-'EMC模式'!K11</f>
        <v/>
      </c>
      <c r="O10" s="53">
        <f>J10-'EMC模式'!L11</f>
        <v/>
      </c>
      <c r="P10" s="53">
        <f>L10-'EMC模式'!N11</f>
        <v/>
      </c>
      <c r="Q10" s="53">
        <f>M10-('EMC模式'!K11-'EMC模式'!L11-'EMC模式'!M11+'EMC模式'!N11)</f>
        <v/>
      </c>
      <c r="R10" s="22" t="inlineStr">
        <is>
          <t>EMC作为基准模式：业主自付电费+运维，服务方主要赚节能服务费
——
EMC is used as the benchmark model: the owner pays for electricity + operation and maintenance, and the service provider mainly earns energy-saving service fees</t>
        </is>
      </c>
    </row>
    <row r="11" ht="22" customHeight="1" s="32">
      <c r="A11" t="inlineStr">
        <is>
          <t>EMC</t>
        </is>
      </c>
      <c r="B11" t="n">
        <v>6</v>
      </c>
      <c r="C11" s="53">
        <f>'假设'!E6</f>
        <v/>
      </c>
      <c r="D11" s="53">
        <f>'假设'!F6</f>
        <v/>
      </c>
      <c r="E11" s="53">
        <f>'假设'!G6</f>
        <v/>
      </c>
      <c r="F11" s="53">
        <f>'假设'!H6</f>
        <v/>
      </c>
      <c r="G11" s="53">
        <f>'EMC模式'!H11</f>
        <v/>
      </c>
      <c r="H11" s="53">
        <f>G11-'EMC模式'!H11</f>
        <v/>
      </c>
      <c r="I11" s="53">
        <f>'EMC模式'!K12</f>
        <v/>
      </c>
      <c r="J11" s="53">
        <f>'EMC模式'!L12</f>
        <v/>
      </c>
      <c r="K11" s="53">
        <f>'EMC模式'!M12</f>
        <v/>
      </c>
      <c r="L11" s="53">
        <f>'EMC模式'!N12</f>
        <v/>
      </c>
      <c r="M11" s="53">
        <f>I11-J11-K11+L11</f>
        <v/>
      </c>
      <c r="N11" s="53">
        <f>I11-'EMC模式'!K12</f>
        <v/>
      </c>
      <c r="O11" s="53">
        <f>J11-'EMC模式'!L12</f>
        <v/>
      </c>
      <c r="P11" s="53">
        <f>L11-'EMC模式'!N12</f>
        <v/>
      </c>
      <c r="Q11" s="53">
        <f>M11-('EMC模式'!K12-'EMC模式'!L12-'EMC模式'!M12+'EMC模式'!N12)</f>
        <v/>
      </c>
      <c r="R11" s="22" t="inlineStr">
        <is>
          <t>EMC作为基准模式：业主自付电费+运维，服务方主要赚节能服务费
——
EMC is used as the benchmark model: the owner pays for electricity + operation and maintenance, and the service provider mainly earns energy-saving service fees</t>
        </is>
      </c>
    </row>
    <row r="12" ht="22" customHeight="1" s="32">
      <c r="A12" t="inlineStr">
        <is>
          <t>EMC</t>
        </is>
      </c>
      <c r="B12" t="n">
        <v>7</v>
      </c>
      <c r="C12" s="53">
        <f>'假设'!E6</f>
        <v/>
      </c>
      <c r="D12" s="53">
        <f>'假设'!F6</f>
        <v/>
      </c>
      <c r="E12" s="53">
        <f>'假设'!G6</f>
        <v/>
      </c>
      <c r="F12" s="53">
        <f>'假设'!H6</f>
        <v/>
      </c>
      <c r="G12" s="53">
        <f>'EMC模式'!H12</f>
        <v/>
      </c>
      <c r="H12" s="53">
        <f>G12-'EMC模式'!H12</f>
        <v/>
      </c>
      <c r="I12" s="53">
        <f>'EMC模式'!K13</f>
        <v/>
      </c>
      <c r="J12" s="53">
        <f>'EMC模式'!L13</f>
        <v/>
      </c>
      <c r="K12" s="53">
        <f>'EMC模式'!M13</f>
        <v/>
      </c>
      <c r="L12" s="53">
        <f>'EMC模式'!N13</f>
        <v/>
      </c>
      <c r="M12" s="53">
        <f>I12-J12-K12+L12</f>
        <v/>
      </c>
      <c r="N12" s="53">
        <f>I12-'EMC模式'!K13</f>
        <v/>
      </c>
      <c r="O12" s="53">
        <f>J12-'EMC模式'!L13</f>
        <v/>
      </c>
      <c r="P12" s="53">
        <f>L12-'EMC模式'!N13</f>
        <v/>
      </c>
      <c r="Q12" s="53">
        <f>M12-('EMC模式'!K13-'EMC模式'!L13-'EMC模式'!M13+'EMC模式'!N13)</f>
        <v/>
      </c>
      <c r="R12" s="22" t="inlineStr">
        <is>
          <t>EMC作为基准模式：业主自付电费+运维，服务方主要赚节能服务费
——
EMC is used as the benchmark model: the owner pays for electricity + operation and maintenance, and the service provider mainly earns energy-saving service fees</t>
        </is>
      </c>
    </row>
    <row r="13" ht="22" customHeight="1" s="32">
      <c r="A13" t="inlineStr">
        <is>
          <t>EMC</t>
        </is>
      </c>
      <c r="B13" t="n">
        <v>8</v>
      </c>
      <c r="C13" s="53">
        <f>'假设'!E6</f>
        <v/>
      </c>
      <c r="D13" s="53">
        <f>'假设'!F6</f>
        <v/>
      </c>
      <c r="E13" s="53">
        <f>'假设'!G6</f>
        <v/>
      </c>
      <c r="F13" s="53">
        <f>'假设'!H6</f>
        <v/>
      </c>
      <c r="G13" s="53">
        <f>'EMC模式'!H13</f>
        <v/>
      </c>
      <c r="H13" s="53">
        <f>G13-'EMC模式'!H13</f>
        <v/>
      </c>
      <c r="I13" s="53">
        <f>'EMC模式'!K14</f>
        <v/>
      </c>
      <c r="J13" s="53">
        <f>'EMC模式'!L14</f>
        <v/>
      </c>
      <c r="K13" s="53">
        <f>'EMC模式'!M14</f>
        <v/>
      </c>
      <c r="L13" s="53">
        <f>'EMC模式'!N14</f>
        <v/>
      </c>
      <c r="M13" s="53">
        <f>I13-J13-K13+L13</f>
        <v/>
      </c>
      <c r="N13" s="53">
        <f>I13-'EMC模式'!K14</f>
        <v/>
      </c>
      <c r="O13" s="53">
        <f>J13-'EMC模式'!L14</f>
        <v/>
      </c>
      <c r="P13" s="53">
        <f>L13-'EMC模式'!N14</f>
        <v/>
      </c>
      <c r="Q13" s="53">
        <f>M13-('EMC模式'!K14-'EMC模式'!L14-'EMC模式'!M14+'EMC模式'!N14)</f>
        <v/>
      </c>
      <c r="R13" s="22" t="inlineStr">
        <is>
          <t>EMC作为基准模式：业主自付电费+运维，服务方主要赚节能服务费
——
EMC is used as the benchmark model: the owner pays for electricity + operation and maintenance, and the service provider mainly earns energy-saving service fees</t>
        </is>
      </c>
    </row>
    <row r="14" ht="22" customHeight="1" s="32">
      <c r="A14" t="inlineStr">
        <is>
          <t>EMC</t>
        </is>
      </c>
      <c r="B14" t="n">
        <v>9</v>
      </c>
      <c r="C14" s="53">
        <f>'假设'!E6</f>
        <v/>
      </c>
      <c r="D14" s="53">
        <f>'假设'!F6</f>
        <v/>
      </c>
      <c r="E14" s="53">
        <f>'假设'!G6</f>
        <v/>
      </c>
      <c r="F14" s="53">
        <f>'假设'!H6</f>
        <v/>
      </c>
      <c r="G14" s="53">
        <f>'EMC模式'!H14</f>
        <v/>
      </c>
      <c r="H14" s="53">
        <f>G14-'EMC模式'!H14</f>
        <v/>
      </c>
      <c r="I14" s="53">
        <f>'EMC模式'!K15</f>
        <v/>
      </c>
      <c r="J14" s="53">
        <f>'EMC模式'!L15</f>
        <v/>
      </c>
      <c r="K14" s="53">
        <f>'EMC模式'!M15</f>
        <v/>
      </c>
      <c r="L14" s="53">
        <f>'EMC模式'!N15</f>
        <v/>
      </c>
      <c r="M14" s="53">
        <f>I14-J14-K14+L14</f>
        <v/>
      </c>
      <c r="N14" s="53">
        <f>I14-'EMC模式'!K15</f>
        <v/>
      </c>
      <c r="O14" s="53">
        <f>J14-'EMC模式'!L15</f>
        <v/>
      </c>
      <c r="P14" s="53">
        <f>L14-'EMC模式'!N15</f>
        <v/>
      </c>
      <c r="Q14" s="53">
        <f>M14-('EMC模式'!K15-'EMC模式'!L15-'EMC模式'!M15+'EMC模式'!N15)</f>
        <v/>
      </c>
      <c r="R14" s="22" t="inlineStr">
        <is>
          <t>EMC作为基准模式：业主自付电费+运维，服务方主要赚节能服务费
——
EMC is used as the benchmark model: the owner pays for electricity + operation and maintenance, and the service provider mainly earns energy-saving service fees</t>
        </is>
      </c>
    </row>
    <row r="15" ht="22" customHeight="1" s="32">
      <c r="A15" t="inlineStr">
        <is>
          <t>EMC</t>
        </is>
      </c>
      <c r="B15" t="n">
        <v>10</v>
      </c>
      <c r="C15" s="53">
        <f>'假设'!E6</f>
        <v/>
      </c>
      <c r="D15" s="53">
        <f>'假设'!F6</f>
        <v/>
      </c>
      <c r="E15" s="53">
        <f>'假设'!G6</f>
        <v/>
      </c>
      <c r="F15" s="53">
        <f>'假设'!H6</f>
        <v/>
      </c>
      <c r="G15" s="53">
        <f>'EMC模式'!H15</f>
        <v/>
      </c>
      <c r="H15" s="53">
        <f>G15-'EMC模式'!H15</f>
        <v/>
      </c>
      <c r="I15" s="53">
        <f>'EMC模式'!K16</f>
        <v/>
      </c>
      <c r="J15" s="53">
        <f>'EMC模式'!L16</f>
        <v/>
      </c>
      <c r="K15" s="53">
        <f>'EMC模式'!M16</f>
        <v/>
      </c>
      <c r="L15" s="53">
        <f>'EMC模式'!N16</f>
        <v/>
      </c>
      <c r="M15" s="53">
        <f>I15-J15-K15+L15</f>
        <v/>
      </c>
      <c r="N15" s="53">
        <f>I15-'EMC模式'!K16</f>
        <v/>
      </c>
      <c r="O15" s="53">
        <f>J15-'EMC模式'!L16</f>
        <v/>
      </c>
      <c r="P15" s="53">
        <f>L15-'EMC模式'!N16</f>
        <v/>
      </c>
      <c r="Q15" s="53">
        <f>M15-('EMC模式'!K16-'EMC模式'!L16-'EMC模式'!M16+'EMC模式'!N16)</f>
        <v/>
      </c>
      <c r="R15" s="22" t="inlineStr">
        <is>
          <t>第10年含终值/残值归属；本模式下终值归甲方，因此甲方收益高于LaaS
——
The 10th year includes vesting of the final value/residual value; in this model, the final value belongs to Party A, so Party A’s income is higher than that of LaaS</t>
        </is>
      </c>
    </row>
    <row r="16" ht="22" customHeight="1" s="32">
      <c r="A16" t="inlineStr">
        <is>
          <t>能源托管
——
Energy hosting</t>
        </is>
      </c>
      <c r="B16" t="n">
        <v>1</v>
      </c>
      <c r="C16" s="53">
        <f>'假设'!E7</f>
        <v/>
      </c>
      <c r="D16" s="53">
        <f>'假设'!F7</f>
        <v/>
      </c>
      <c r="E16" s="53">
        <f>'假设'!G7</f>
        <v/>
      </c>
      <c r="F16" s="53">
        <f>'假设'!H7</f>
        <v/>
      </c>
      <c r="G16" s="53">
        <f>'能源托管模式'!H6</f>
        <v/>
      </c>
      <c r="H16" s="53">
        <f>G16-'EMC模式'!H6</f>
        <v/>
      </c>
      <c r="I16" s="53">
        <f>'能源托管模式'!K7</f>
        <v/>
      </c>
      <c r="J16" s="53">
        <f>'能源托管模式'!L7</f>
        <v/>
      </c>
      <c r="K16" s="53">
        <f>'能源托管模式'!M7</f>
        <v/>
      </c>
      <c r="L16" s="53">
        <f>'能源托管模式'!N7</f>
        <v/>
      </c>
      <c r="M16" s="53">
        <f>I16-J16-K16+L16</f>
        <v/>
      </c>
      <c r="N16" s="53">
        <f>I16-'EMC模式'!K7</f>
        <v/>
      </c>
      <c r="O16" s="53">
        <f>J16-'EMC模式'!L7</f>
        <v/>
      </c>
      <c r="P16" s="53">
        <f>L16-'EMC模式'!N7</f>
        <v/>
      </c>
      <c r="Q16" s="53">
        <f>M16-('EMC模式'!K7-'EMC模式'!L7-'EMC模式'!M7+'EMC模式'!N7)</f>
        <v/>
      </c>
      <c r="R16"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17" ht="22" customHeight="1" s="32">
      <c r="A17" t="inlineStr">
        <is>
          <t>能源托管
——
Energy hosting</t>
        </is>
      </c>
      <c r="B17" t="n">
        <v>2</v>
      </c>
      <c r="C17" s="53">
        <f>'假设'!E7</f>
        <v/>
      </c>
      <c r="D17" s="53">
        <f>'假设'!F7</f>
        <v/>
      </c>
      <c r="E17" s="53">
        <f>'假设'!G7</f>
        <v/>
      </c>
      <c r="F17" s="53">
        <f>'假设'!H7</f>
        <v/>
      </c>
      <c r="G17" s="53">
        <f>'能源托管模式'!H7</f>
        <v/>
      </c>
      <c r="H17" s="53">
        <f>G17-'EMC模式'!H7</f>
        <v/>
      </c>
      <c r="I17" s="53">
        <f>'能源托管模式'!K8</f>
        <v/>
      </c>
      <c r="J17" s="53">
        <f>'能源托管模式'!L8</f>
        <v/>
      </c>
      <c r="K17" s="53">
        <f>'能源托管模式'!M8</f>
        <v/>
      </c>
      <c r="L17" s="53">
        <f>'能源托管模式'!N8</f>
        <v/>
      </c>
      <c r="M17" s="53">
        <f>I17-J17-K17+L17</f>
        <v/>
      </c>
      <c r="N17" s="53">
        <f>I17-'EMC模式'!K8</f>
        <v/>
      </c>
      <c r="O17" s="53">
        <f>J17-'EMC模式'!L8</f>
        <v/>
      </c>
      <c r="P17" s="53">
        <f>L17-'EMC模式'!N8</f>
        <v/>
      </c>
      <c r="Q17" s="53">
        <f>M17-('EMC模式'!K8-'EMC模式'!L8-'EMC模式'!M8+'EMC模式'!N8)</f>
        <v/>
      </c>
      <c r="R17"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18" ht="22" customHeight="1" s="32">
      <c r="A18" t="inlineStr">
        <is>
          <t>能源托管
——
Energy hosting</t>
        </is>
      </c>
      <c r="B18" t="n">
        <v>3</v>
      </c>
      <c r="C18" s="53">
        <f>'假设'!E7</f>
        <v/>
      </c>
      <c r="D18" s="53">
        <f>'假设'!F7</f>
        <v/>
      </c>
      <c r="E18" s="53">
        <f>'假设'!G7</f>
        <v/>
      </c>
      <c r="F18" s="53">
        <f>'假设'!H7</f>
        <v/>
      </c>
      <c r="G18" s="53">
        <f>'能源托管模式'!H8</f>
        <v/>
      </c>
      <c r="H18" s="53">
        <f>G18-'EMC模式'!H8</f>
        <v/>
      </c>
      <c r="I18" s="53">
        <f>'能源托管模式'!K9</f>
        <v/>
      </c>
      <c r="J18" s="53">
        <f>'能源托管模式'!L9</f>
        <v/>
      </c>
      <c r="K18" s="53">
        <f>'能源托管模式'!M9</f>
        <v/>
      </c>
      <c r="L18" s="53">
        <f>'能源托管模式'!N9</f>
        <v/>
      </c>
      <c r="M18" s="53">
        <f>I18-J18-K18+L18</f>
        <v/>
      </c>
      <c r="N18" s="53">
        <f>I18-'EMC模式'!K9</f>
        <v/>
      </c>
      <c r="O18" s="53">
        <f>J18-'EMC模式'!L9</f>
        <v/>
      </c>
      <c r="P18" s="53">
        <f>L18-'EMC模式'!N9</f>
        <v/>
      </c>
      <c r="Q18" s="53">
        <f>M18-('EMC模式'!K9-'EMC模式'!L9-'EMC模式'!M9+'EMC模式'!N9)</f>
        <v/>
      </c>
      <c r="R18"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19" ht="22" customHeight="1" s="32">
      <c r="A19" t="inlineStr">
        <is>
          <t>能源托管
——
Energy hosting</t>
        </is>
      </c>
      <c r="B19" t="n">
        <v>4</v>
      </c>
      <c r="C19" s="53">
        <f>'假设'!E7</f>
        <v/>
      </c>
      <c r="D19" s="53">
        <f>'假设'!F7</f>
        <v/>
      </c>
      <c r="E19" s="53">
        <f>'假设'!G7</f>
        <v/>
      </c>
      <c r="F19" s="53">
        <f>'假设'!H7</f>
        <v/>
      </c>
      <c r="G19" s="53">
        <f>'能源托管模式'!H9</f>
        <v/>
      </c>
      <c r="H19" s="53">
        <f>G19-'EMC模式'!H9</f>
        <v/>
      </c>
      <c r="I19" s="53">
        <f>'能源托管模式'!K10</f>
        <v/>
      </c>
      <c r="J19" s="53">
        <f>'能源托管模式'!L10</f>
        <v/>
      </c>
      <c r="K19" s="53">
        <f>'能源托管模式'!M10</f>
        <v/>
      </c>
      <c r="L19" s="53">
        <f>'能源托管模式'!N10</f>
        <v/>
      </c>
      <c r="M19" s="53">
        <f>I19-J19-K19+L19</f>
        <v/>
      </c>
      <c r="N19" s="53">
        <f>I19-'EMC模式'!K10</f>
        <v/>
      </c>
      <c r="O19" s="53">
        <f>J19-'EMC模式'!L10</f>
        <v/>
      </c>
      <c r="P19" s="53">
        <f>L19-'EMC模式'!N10</f>
        <v/>
      </c>
      <c r="Q19" s="53">
        <f>M19-('EMC模式'!K10-'EMC模式'!L10-'EMC模式'!M10+'EMC模式'!N10)</f>
        <v/>
      </c>
      <c r="R19"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0" ht="22" customHeight="1" s="32">
      <c r="A20" t="inlineStr">
        <is>
          <t>能源托管
——
Energy hosting</t>
        </is>
      </c>
      <c r="B20" t="n">
        <v>5</v>
      </c>
      <c r="C20" s="53">
        <f>'假设'!E7</f>
        <v/>
      </c>
      <c r="D20" s="53">
        <f>'假设'!F7</f>
        <v/>
      </c>
      <c r="E20" s="53">
        <f>'假设'!G7</f>
        <v/>
      </c>
      <c r="F20" s="53">
        <f>'假设'!H7</f>
        <v/>
      </c>
      <c r="G20" s="53">
        <f>'能源托管模式'!H10</f>
        <v/>
      </c>
      <c r="H20" s="53">
        <f>G20-'EMC模式'!H10</f>
        <v/>
      </c>
      <c r="I20" s="53">
        <f>'能源托管模式'!K11</f>
        <v/>
      </c>
      <c r="J20" s="53">
        <f>'能源托管模式'!L11</f>
        <v/>
      </c>
      <c r="K20" s="53">
        <f>'能源托管模式'!M11</f>
        <v/>
      </c>
      <c r="L20" s="53">
        <f>'能源托管模式'!N11</f>
        <v/>
      </c>
      <c r="M20" s="53">
        <f>I20-J20-K20+L20</f>
        <v/>
      </c>
      <c r="N20" s="53">
        <f>I20-'EMC模式'!K11</f>
        <v/>
      </c>
      <c r="O20" s="53">
        <f>J20-'EMC模式'!L11</f>
        <v/>
      </c>
      <c r="P20" s="53">
        <f>L20-'EMC模式'!N11</f>
        <v/>
      </c>
      <c r="Q20" s="53">
        <f>M20-('EMC模式'!K11-'EMC模式'!L11-'EMC模式'!M11+'EMC模式'!N11)</f>
        <v/>
      </c>
      <c r="R20"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1" ht="22" customHeight="1" s="32">
      <c r="A21" t="inlineStr">
        <is>
          <t>能源托管
——
Energy hosting</t>
        </is>
      </c>
      <c r="B21" t="n">
        <v>6</v>
      </c>
      <c r="C21" s="53">
        <f>'假设'!E7</f>
        <v/>
      </c>
      <c r="D21" s="53">
        <f>'假设'!F7</f>
        <v/>
      </c>
      <c r="E21" s="53">
        <f>'假设'!G7</f>
        <v/>
      </c>
      <c r="F21" s="53">
        <f>'假设'!H7</f>
        <v/>
      </c>
      <c r="G21" s="53">
        <f>'能源托管模式'!H11</f>
        <v/>
      </c>
      <c r="H21" s="53">
        <f>G21-'EMC模式'!H11</f>
        <v/>
      </c>
      <c r="I21" s="53">
        <f>'能源托管模式'!K12</f>
        <v/>
      </c>
      <c r="J21" s="53">
        <f>'能源托管模式'!L12</f>
        <v/>
      </c>
      <c r="K21" s="53">
        <f>'能源托管模式'!M12</f>
        <v/>
      </c>
      <c r="L21" s="53">
        <f>'能源托管模式'!N12</f>
        <v/>
      </c>
      <c r="M21" s="53">
        <f>I21-J21-K21+L21</f>
        <v/>
      </c>
      <c r="N21" s="53">
        <f>I21-'EMC模式'!K12</f>
        <v/>
      </c>
      <c r="O21" s="53">
        <f>J21-'EMC模式'!L12</f>
        <v/>
      </c>
      <c r="P21" s="53">
        <f>L21-'EMC模式'!N12</f>
        <v/>
      </c>
      <c r="Q21" s="53">
        <f>M21-('EMC模式'!K12-'EMC模式'!L12-'EMC模式'!M12+'EMC模式'!N12)</f>
        <v/>
      </c>
      <c r="R21"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2" ht="22" customHeight="1" s="32">
      <c r="A22" t="inlineStr">
        <is>
          <t>能源托管
——
Energy hosting</t>
        </is>
      </c>
      <c r="B22" t="n">
        <v>7</v>
      </c>
      <c r="C22" s="53">
        <f>'假设'!E7</f>
        <v/>
      </c>
      <c r="D22" s="53">
        <f>'假设'!F7</f>
        <v/>
      </c>
      <c r="E22" s="53">
        <f>'假设'!G7</f>
        <v/>
      </c>
      <c r="F22" s="53">
        <f>'假设'!H7</f>
        <v/>
      </c>
      <c r="G22" s="53">
        <f>'能源托管模式'!H12</f>
        <v/>
      </c>
      <c r="H22" s="53">
        <f>G22-'EMC模式'!H12</f>
        <v/>
      </c>
      <c r="I22" s="53">
        <f>'能源托管模式'!K13</f>
        <v/>
      </c>
      <c r="J22" s="53">
        <f>'能源托管模式'!L13</f>
        <v/>
      </c>
      <c r="K22" s="53">
        <f>'能源托管模式'!M13</f>
        <v/>
      </c>
      <c r="L22" s="53">
        <f>'能源托管模式'!N13</f>
        <v/>
      </c>
      <c r="M22" s="53">
        <f>I22-J22-K22+L22</f>
        <v/>
      </c>
      <c r="N22" s="53">
        <f>I22-'EMC模式'!K13</f>
        <v/>
      </c>
      <c r="O22" s="53">
        <f>J22-'EMC模式'!L13</f>
        <v/>
      </c>
      <c r="P22" s="53">
        <f>L22-'EMC模式'!N13</f>
        <v/>
      </c>
      <c r="Q22" s="53">
        <f>M22-('EMC模式'!K13-'EMC模式'!L13-'EMC模式'!M13+'EMC模式'!N13)</f>
        <v/>
      </c>
      <c r="R22"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3" ht="22" customHeight="1" s="32">
      <c r="A23" t="inlineStr">
        <is>
          <t>能源托管
——
Energy hosting</t>
        </is>
      </c>
      <c r="B23" t="n">
        <v>8</v>
      </c>
      <c r="C23" s="53">
        <f>'假设'!E7</f>
        <v/>
      </c>
      <c r="D23" s="53">
        <f>'假设'!F7</f>
        <v/>
      </c>
      <c r="E23" s="53">
        <f>'假设'!G7</f>
        <v/>
      </c>
      <c r="F23" s="53">
        <f>'假设'!H7</f>
        <v/>
      </c>
      <c r="G23" s="53">
        <f>'能源托管模式'!H13</f>
        <v/>
      </c>
      <c r="H23" s="53">
        <f>G23-'EMC模式'!H13</f>
        <v/>
      </c>
      <c r="I23" s="53">
        <f>'能源托管模式'!K14</f>
        <v/>
      </c>
      <c r="J23" s="53">
        <f>'能源托管模式'!L14</f>
        <v/>
      </c>
      <c r="K23" s="53">
        <f>'能源托管模式'!M14</f>
        <v/>
      </c>
      <c r="L23" s="53">
        <f>'能源托管模式'!N14</f>
        <v/>
      </c>
      <c r="M23" s="53">
        <f>I23-J23-K23+L23</f>
        <v/>
      </c>
      <c r="N23" s="53">
        <f>I23-'EMC模式'!K14</f>
        <v/>
      </c>
      <c r="O23" s="53">
        <f>J23-'EMC模式'!L14</f>
        <v/>
      </c>
      <c r="P23" s="53">
        <f>L23-'EMC模式'!N14</f>
        <v/>
      </c>
      <c r="Q23" s="53">
        <f>M23-('EMC模式'!K14-'EMC模式'!L14-'EMC模式'!M14+'EMC模式'!N14)</f>
        <v/>
      </c>
      <c r="R23"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4" ht="22" customHeight="1" s="32">
      <c r="A24" t="inlineStr">
        <is>
          <t>能源托管
——
Energy hosting</t>
        </is>
      </c>
      <c r="B24" t="n">
        <v>9</v>
      </c>
      <c r="C24" s="53">
        <f>'假设'!E7</f>
        <v/>
      </c>
      <c r="D24" s="53">
        <f>'假设'!F7</f>
        <v/>
      </c>
      <c r="E24" s="53">
        <f>'假设'!G7</f>
        <v/>
      </c>
      <c r="F24" s="53">
        <f>'假设'!H7</f>
        <v/>
      </c>
      <c r="G24" s="53">
        <f>'能源托管模式'!H14</f>
        <v/>
      </c>
      <c r="H24" s="53">
        <f>G24-'EMC模式'!H14</f>
        <v/>
      </c>
      <c r="I24" s="53">
        <f>'能源托管模式'!K15</f>
        <v/>
      </c>
      <c r="J24" s="53">
        <f>'能源托管模式'!L15</f>
        <v/>
      </c>
      <c r="K24" s="53">
        <f>'能源托管模式'!M15</f>
        <v/>
      </c>
      <c r="L24" s="53">
        <f>'能源托管模式'!N15</f>
        <v/>
      </c>
      <c r="M24" s="53">
        <f>I24-J24-K24+L24</f>
        <v/>
      </c>
      <c r="N24" s="53">
        <f>I24-'EMC模式'!K15</f>
        <v/>
      </c>
      <c r="O24" s="53">
        <f>J24-'EMC模式'!L15</f>
        <v/>
      </c>
      <c r="P24" s="53">
        <f>L24-'EMC模式'!N15</f>
        <v/>
      </c>
      <c r="Q24" s="53">
        <f>M24-('EMC模式'!K15-'EMC模式'!L15-'EMC模式'!M15+'EMC模式'!N15)</f>
        <v/>
      </c>
      <c r="R24"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5" ht="22" customHeight="1" s="32">
      <c r="A25" t="inlineStr">
        <is>
          <t>能源托管
——
Energy hosting</t>
        </is>
      </c>
      <c r="B25" t="n">
        <v>10</v>
      </c>
      <c r="C25" s="53">
        <f>'假设'!E7</f>
        <v/>
      </c>
      <c r="D25" s="53">
        <f>'假设'!F7</f>
        <v/>
      </c>
      <c r="E25" s="53">
        <f>'假设'!G7</f>
        <v/>
      </c>
      <c r="F25" s="53">
        <f>'假设'!H7</f>
        <v/>
      </c>
      <c r="G25" s="53">
        <f>'能源托管模式'!H15</f>
        <v/>
      </c>
      <c r="H25" s="53">
        <f>G25-'EMC模式'!H15</f>
        <v/>
      </c>
      <c r="I25" s="53">
        <f>'能源托管模式'!K16</f>
        <v/>
      </c>
      <c r="J25" s="53">
        <f>'能源托管模式'!L16</f>
        <v/>
      </c>
      <c r="K25" s="53">
        <f>'能源托管模式'!M16</f>
        <v/>
      </c>
      <c r="L25" s="53">
        <f>'能源托管模式'!N16</f>
        <v/>
      </c>
      <c r="M25" s="53">
        <f>I25-J25-K25+L25</f>
        <v/>
      </c>
      <c r="N25" s="53">
        <f>I25-'EMC模式'!K16</f>
        <v/>
      </c>
      <c r="O25" s="53">
        <f>J25-'EMC模式'!L16</f>
        <v/>
      </c>
      <c r="P25" s="53">
        <f>L25-'EMC模式'!N16</f>
        <v/>
      </c>
      <c r="Q25" s="53">
        <f>M25-('EMC模式'!K16-'EMC模式'!L16-'EMC模式'!M16+'EMC模式'!N16)</f>
        <v/>
      </c>
      <c r="R25" s="22" t="inlineStr">
        <is>
          <t>第10年含终值/残值归属；本模式下终值归甲方，因此甲方收益高于LaaS
——
The 10th year includes vesting of the final value/residual value; in this model, the final value belongs to Party A, so Party A’s income is higher than that of LaaS</t>
        </is>
      </c>
    </row>
    <row r="26" ht="22" customHeight="1" s="32">
      <c r="A26" t="inlineStr">
        <is>
          <t>LaaS</t>
        </is>
      </c>
      <c r="B26" t="n">
        <v>1</v>
      </c>
      <c r="C26" s="53">
        <f>'假设'!E8</f>
        <v/>
      </c>
      <c r="D26" s="53">
        <f>'假设'!F8</f>
        <v/>
      </c>
      <c r="E26" s="53">
        <f>'假设'!G8</f>
        <v/>
      </c>
      <c r="F26" s="53">
        <f>'假设'!H8</f>
        <v/>
      </c>
      <c r="G26" s="53">
        <f>'LaaS模式'!H6</f>
        <v/>
      </c>
      <c r="H26" s="53">
        <f>G26-'EMC模式'!H6</f>
        <v/>
      </c>
      <c r="I26" s="53">
        <f>'LaaS模式'!K7</f>
        <v/>
      </c>
      <c r="J26" s="53">
        <f>'LaaS模式'!L7</f>
        <v/>
      </c>
      <c r="K26" s="53">
        <f>'LaaS模式'!M7</f>
        <v/>
      </c>
      <c r="L26" s="53">
        <f>'LaaS模式'!N7</f>
        <v/>
      </c>
      <c r="M26" s="53">
        <f>I26-J26-K26+L26</f>
        <v/>
      </c>
      <c r="N26" s="53">
        <f>I26-'EMC模式'!K7</f>
        <v/>
      </c>
      <c r="O26" s="53">
        <f>J26-'EMC模式'!L7</f>
        <v/>
      </c>
      <c r="P26" s="53">
        <f>L26-'EMC模式'!N7</f>
        <v/>
      </c>
      <c r="Q26" s="53">
        <f>M26-('EMC模式'!K7-'EMC模式'!L7-'EMC模式'!M7+'EMC模式'!N7)</f>
        <v/>
      </c>
      <c r="R26"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27" ht="22" customHeight="1" s="32">
      <c r="A27" t="inlineStr">
        <is>
          <t>LaaS</t>
        </is>
      </c>
      <c r="B27" t="n">
        <v>2</v>
      </c>
      <c r="C27" s="53">
        <f>'假设'!E8</f>
        <v/>
      </c>
      <c r="D27" s="53">
        <f>'假设'!F8</f>
        <v/>
      </c>
      <c r="E27" s="53">
        <f>'假设'!G8</f>
        <v/>
      </c>
      <c r="F27" s="53">
        <f>'假设'!H8</f>
        <v/>
      </c>
      <c r="G27" s="53">
        <f>'LaaS模式'!H7</f>
        <v/>
      </c>
      <c r="H27" s="53">
        <f>G27-'EMC模式'!H7</f>
        <v/>
      </c>
      <c r="I27" s="53">
        <f>'LaaS模式'!K8</f>
        <v/>
      </c>
      <c r="J27" s="53">
        <f>'LaaS模式'!L8</f>
        <v/>
      </c>
      <c r="K27" s="53">
        <f>'LaaS模式'!M8</f>
        <v/>
      </c>
      <c r="L27" s="53">
        <f>'LaaS模式'!N8</f>
        <v/>
      </c>
      <c r="M27" s="53">
        <f>I27-J27-K27+L27</f>
        <v/>
      </c>
      <c r="N27" s="53">
        <f>I27-'EMC模式'!K8</f>
        <v/>
      </c>
      <c r="O27" s="53">
        <f>J27-'EMC模式'!L8</f>
        <v/>
      </c>
      <c r="P27" s="53">
        <f>L27-'EMC模式'!N8</f>
        <v/>
      </c>
      <c r="Q27" s="53">
        <f>M27-('EMC模式'!K8-'EMC模式'!L8-'EMC模式'!M8+'EMC模式'!N8)</f>
        <v/>
      </c>
      <c r="R27"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28" ht="22" customHeight="1" s="32">
      <c r="A28" t="inlineStr">
        <is>
          <t>LaaS</t>
        </is>
      </c>
      <c r="B28" t="n">
        <v>3</v>
      </c>
      <c r="C28" s="53">
        <f>'假设'!E8</f>
        <v/>
      </c>
      <c r="D28" s="53">
        <f>'假设'!F8</f>
        <v/>
      </c>
      <c r="E28" s="53">
        <f>'假设'!G8</f>
        <v/>
      </c>
      <c r="F28" s="53">
        <f>'假设'!H8</f>
        <v/>
      </c>
      <c r="G28" s="53">
        <f>'LaaS模式'!H8</f>
        <v/>
      </c>
      <c r="H28" s="53">
        <f>G28-'EMC模式'!H8</f>
        <v/>
      </c>
      <c r="I28" s="53">
        <f>'LaaS模式'!K9</f>
        <v/>
      </c>
      <c r="J28" s="53">
        <f>'LaaS模式'!L9</f>
        <v/>
      </c>
      <c r="K28" s="53">
        <f>'LaaS模式'!M9</f>
        <v/>
      </c>
      <c r="L28" s="53">
        <f>'LaaS模式'!N9</f>
        <v/>
      </c>
      <c r="M28" s="53">
        <f>I28-J28-K28+L28</f>
        <v/>
      </c>
      <c r="N28" s="53">
        <f>I28-'EMC模式'!K9</f>
        <v/>
      </c>
      <c r="O28" s="53">
        <f>J28-'EMC模式'!L9</f>
        <v/>
      </c>
      <c r="P28" s="53">
        <f>L28-'EMC模式'!N9</f>
        <v/>
      </c>
      <c r="Q28" s="53">
        <f>M28-('EMC模式'!K9-'EMC模式'!L9-'EMC模式'!M9+'EMC模式'!N9)</f>
        <v/>
      </c>
      <c r="R28"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29" ht="22" customHeight="1" s="32">
      <c r="A29" t="inlineStr">
        <is>
          <t>LaaS</t>
        </is>
      </c>
      <c r="B29" t="n">
        <v>4</v>
      </c>
      <c r="C29" s="53">
        <f>'假设'!E8</f>
        <v/>
      </c>
      <c r="D29" s="53">
        <f>'假设'!F8</f>
        <v/>
      </c>
      <c r="E29" s="53">
        <f>'假设'!G8</f>
        <v/>
      </c>
      <c r="F29" s="53">
        <f>'假设'!H8</f>
        <v/>
      </c>
      <c r="G29" s="53">
        <f>'LaaS模式'!H9</f>
        <v/>
      </c>
      <c r="H29" s="53">
        <f>G29-'EMC模式'!H9</f>
        <v/>
      </c>
      <c r="I29" s="53">
        <f>'LaaS模式'!K10</f>
        <v/>
      </c>
      <c r="J29" s="53">
        <f>'LaaS模式'!L10</f>
        <v/>
      </c>
      <c r="K29" s="53">
        <f>'LaaS模式'!M10</f>
        <v/>
      </c>
      <c r="L29" s="53">
        <f>'LaaS模式'!N10</f>
        <v/>
      </c>
      <c r="M29" s="53">
        <f>I29-J29-K29+L29</f>
        <v/>
      </c>
      <c r="N29" s="53">
        <f>I29-'EMC模式'!K10</f>
        <v/>
      </c>
      <c r="O29" s="53">
        <f>J29-'EMC模式'!L10</f>
        <v/>
      </c>
      <c r="P29" s="53">
        <f>L29-'EMC模式'!N10</f>
        <v/>
      </c>
      <c r="Q29" s="53">
        <f>M29-('EMC模式'!K10-'EMC模式'!L10-'EMC模式'!M10+'EMC模式'!N10)</f>
        <v/>
      </c>
      <c r="R29"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0" ht="22" customHeight="1" s="32">
      <c r="A30" t="inlineStr">
        <is>
          <t>LaaS</t>
        </is>
      </c>
      <c r="B30" t="n">
        <v>5</v>
      </c>
      <c r="C30" s="53">
        <f>'假设'!E8</f>
        <v/>
      </c>
      <c r="D30" s="53">
        <f>'假设'!F8</f>
        <v/>
      </c>
      <c r="E30" s="53">
        <f>'假设'!G8</f>
        <v/>
      </c>
      <c r="F30" s="53">
        <f>'假设'!H8</f>
        <v/>
      </c>
      <c r="G30" s="53">
        <f>'LaaS模式'!H10</f>
        <v/>
      </c>
      <c r="H30" s="53">
        <f>G30-'EMC模式'!H10</f>
        <v/>
      </c>
      <c r="I30" s="53">
        <f>'LaaS模式'!K11</f>
        <v/>
      </c>
      <c r="J30" s="53">
        <f>'LaaS模式'!L11</f>
        <v/>
      </c>
      <c r="K30" s="53">
        <f>'LaaS模式'!M11</f>
        <v/>
      </c>
      <c r="L30" s="53">
        <f>'LaaS模式'!N11</f>
        <v/>
      </c>
      <c r="M30" s="53">
        <f>I30-J30-K30+L30</f>
        <v/>
      </c>
      <c r="N30" s="53">
        <f>I30-'EMC模式'!K11</f>
        <v/>
      </c>
      <c r="O30" s="53">
        <f>J30-'EMC模式'!L11</f>
        <v/>
      </c>
      <c r="P30" s="53">
        <f>L30-'EMC模式'!N11</f>
        <v/>
      </c>
      <c r="Q30" s="53">
        <f>M30-('EMC模式'!K11-'EMC模式'!L11-'EMC模式'!M11+'EMC模式'!N11)</f>
        <v/>
      </c>
      <c r="R30"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1" ht="22" customHeight="1" s="32">
      <c r="A31" t="inlineStr">
        <is>
          <t>LaaS</t>
        </is>
      </c>
      <c r="B31" t="n">
        <v>6</v>
      </c>
      <c r="C31" s="53">
        <f>'假设'!E8</f>
        <v/>
      </c>
      <c r="D31" s="53">
        <f>'假设'!F8</f>
        <v/>
      </c>
      <c r="E31" s="53">
        <f>'假设'!G8</f>
        <v/>
      </c>
      <c r="F31" s="53">
        <f>'假设'!H8</f>
        <v/>
      </c>
      <c r="G31" s="53">
        <f>'LaaS模式'!H11</f>
        <v/>
      </c>
      <c r="H31" s="53">
        <f>G31-'EMC模式'!H11</f>
        <v/>
      </c>
      <c r="I31" s="53">
        <f>'LaaS模式'!K12</f>
        <v/>
      </c>
      <c r="J31" s="53">
        <f>'LaaS模式'!L12</f>
        <v/>
      </c>
      <c r="K31" s="53">
        <f>'LaaS模式'!M12</f>
        <v/>
      </c>
      <c r="L31" s="53">
        <f>'LaaS模式'!N12</f>
        <v/>
      </c>
      <c r="M31" s="53">
        <f>I31-J31-K31+L31</f>
        <v/>
      </c>
      <c r="N31" s="53">
        <f>I31-'EMC模式'!K12</f>
        <v/>
      </c>
      <c r="O31" s="53">
        <f>J31-'EMC模式'!L12</f>
        <v/>
      </c>
      <c r="P31" s="53">
        <f>L31-'EMC模式'!N12</f>
        <v/>
      </c>
      <c r="Q31" s="53">
        <f>M31-('EMC模式'!K12-'EMC模式'!L12-'EMC模式'!M12+'EMC模式'!N12)</f>
        <v/>
      </c>
      <c r="R31"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2" ht="22" customHeight="1" s="32">
      <c r="A32" t="inlineStr">
        <is>
          <t>LaaS</t>
        </is>
      </c>
      <c r="B32" t="n">
        <v>7</v>
      </c>
      <c r="C32" s="53">
        <f>'假设'!E8</f>
        <v/>
      </c>
      <c r="D32" s="53">
        <f>'假设'!F8</f>
        <v/>
      </c>
      <c r="E32" s="53">
        <f>'假设'!G8</f>
        <v/>
      </c>
      <c r="F32" s="53">
        <f>'假设'!H8</f>
        <v/>
      </c>
      <c r="G32" s="53">
        <f>'LaaS模式'!H12</f>
        <v/>
      </c>
      <c r="H32" s="53">
        <f>G32-'EMC模式'!H12</f>
        <v/>
      </c>
      <c r="I32" s="53">
        <f>'LaaS模式'!K13</f>
        <v/>
      </c>
      <c r="J32" s="53">
        <f>'LaaS模式'!L13</f>
        <v/>
      </c>
      <c r="K32" s="53">
        <f>'LaaS模式'!M13</f>
        <v/>
      </c>
      <c r="L32" s="53">
        <f>'LaaS模式'!N13</f>
        <v/>
      </c>
      <c r="M32" s="53">
        <f>I32-J32-K32+L32</f>
        <v/>
      </c>
      <c r="N32" s="53">
        <f>I32-'EMC模式'!K13</f>
        <v/>
      </c>
      <c r="O32" s="53">
        <f>J32-'EMC模式'!L13</f>
        <v/>
      </c>
      <c r="P32" s="53">
        <f>L32-'EMC模式'!N13</f>
        <v/>
      </c>
      <c r="Q32" s="53">
        <f>M32-('EMC模式'!K13-'EMC模式'!L13-'EMC模式'!M13+'EMC模式'!N13)</f>
        <v/>
      </c>
      <c r="R32"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3" ht="22" customHeight="1" s="32">
      <c r="A33" t="inlineStr">
        <is>
          <t>LaaS</t>
        </is>
      </c>
      <c r="B33" t="n">
        <v>8</v>
      </c>
      <c r="C33" s="53">
        <f>'假设'!E8</f>
        <v/>
      </c>
      <c r="D33" s="53">
        <f>'假设'!F8</f>
        <v/>
      </c>
      <c r="E33" s="53">
        <f>'假设'!G8</f>
        <v/>
      </c>
      <c r="F33" s="53">
        <f>'假设'!H8</f>
        <v/>
      </c>
      <c r="G33" s="53">
        <f>'LaaS模式'!H13</f>
        <v/>
      </c>
      <c r="H33" s="53">
        <f>G33-'EMC模式'!H13</f>
        <v/>
      </c>
      <c r="I33" s="53">
        <f>'LaaS模式'!K14</f>
        <v/>
      </c>
      <c r="J33" s="53">
        <f>'LaaS模式'!L14</f>
        <v/>
      </c>
      <c r="K33" s="53">
        <f>'LaaS模式'!M14</f>
        <v/>
      </c>
      <c r="L33" s="53">
        <f>'LaaS模式'!N14</f>
        <v/>
      </c>
      <c r="M33" s="53">
        <f>I33-J33-K33+L33</f>
        <v/>
      </c>
      <c r="N33" s="53">
        <f>I33-'EMC模式'!K14</f>
        <v/>
      </c>
      <c r="O33" s="53">
        <f>J33-'EMC模式'!L14</f>
        <v/>
      </c>
      <c r="P33" s="53">
        <f>L33-'EMC模式'!N14</f>
        <v/>
      </c>
      <c r="Q33" s="53">
        <f>M33-('EMC模式'!K14-'EMC模式'!L14-'EMC模式'!M14+'EMC模式'!N14)</f>
        <v/>
      </c>
      <c r="R33"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4" ht="22" customHeight="1" s="32">
      <c r="A34" t="inlineStr">
        <is>
          <t>LaaS</t>
        </is>
      </c>
      <c r="B34" t="n">
        <v>9</v>
      </c>
      <c r="C34" s="53">
        <f>'假设'!E8</f>
        <v/>
      </c>
      <c r="D34" s="53">
        <f>'假设'!F8</f>
        <v/>
      </c>
      <c r="E34" s="53">
        <f>'假设'!G8</f>
        <v/>
      </c>
      <c r="F34" s="53">
        <f>'假设'!H8</f>
        <v/>
      </c>
      <c r="G34" s="53">
        <f>'LaaS模式'!H14</f>
        <v/>
      </c>
      <c r="H34" s="53">
        <f>G34-'EMC模式'!H14</f>
        <v/>
      </c>
      <c r="I34" s="53">
        <f>'LaaS模式'!K15</f>
        <v/>
      </c>
      <c r="J34" s="53">
        <f>'LaaS模式'!L15</f>
        <v/>
      </c>
      <c r="K34" s="53">
        <f>'LaaS模式'!M15</f>
        <v/>
      </c>
      <c r="L34" s="53">
        <f>'LaaS模式'!N15</f>
        <v/>
      </c>
      <c r="M34" s="53">
        <f>I34-J34-K34+L34</f>
        <v/>
      </c>
      <c r="N34" s="53">
        <f>I34-'EMC模式'!K15</f>
        <v/>
      </c>
      <c r="O34" s="53">
        <f>J34-'EMC模式'!L15</f>
        <v/>
      </c>
      <c r="P34" s="53">
        <f>L34-'EMC模式'!N15</f>
        <v/>
      </c>
      <c r="Q34" s="53">
        <f>M34-('EMC模式'!K15-'EMC模式'!L15-'EMC模式'!M15+'EMC模式'!N15)</f>
        <v/>
      </c>
      <c r="R34"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5" ht="22" customHeight="1" s="32">
      <c r="A35" t="inlineStr">
        <is>
          <t>LaaS</t>
        </is>
      </c>
      <c r="B35" t="n">
        <v>10</v>
      </c>
      <c r="C35" s="53">
        <f>'假设'!E8</f>
        <v/>
      </c>
      <c r="D35" s="53">
        <f>'假设'!F8</f>
        <v/>
      </c>
      <c r="E35" s="53">
        <f>'假设'!G8</f>
        <v/>
      </c>
      <c r="F35" s="53">
        <f>'假设'!H8</f>
        <v/>
      </c>
      <c r="G35" s="53">
        <f>'LaaS模式'!H15</f>
        <v/>
      </c>
      <c r="H35" s="53">
        <f>G35-'EMC模式'!H15</f>
        <v/>
      </c>
      <c r="I35" s="53">
        <f>'LaaS模式'!K16</f>
        <v/>
      </c>
      <c r="J35" s="53">
        <f>'LaaS模式'!L16</f>
        <v/>
      </c>
      <c r="K35" s="53">
        <f>'LaaS模式'!M16</f>
        <v/>
      </c>
      <c r="L35" s="53">
        <f>'LaaS模式'!N16</f>
        <v/>
      </c>
      <c r="M35" s="53">
        <f>I35-J35-K35+L35</f>
        <v/>
      </c>
      <c r="N35" s="53">
        <f>I35-'EMC模式'!K16</f>
        <v/>
      </c>
      <c r="O35" s="53">
        <f>J35-'EMC模式'!L16</f>
        <v/>
      </c>
      <c r="P35" s="53">
        <f>L35-'EMC模式'!N16</f>
        <v/>
      </c>
      <c r="Q35" s="53">
        <f>M35-('EMC模式'!K16-'EMC模式'!L16-'EMC模式'!M16+'EMC模式'!N16)</f>
        <v/>
      </c>
      <c r="R35" s="22" t="inlineStr">
        <is>
          <t>第10年差异最大：LaaS多出服务方残值，同时甲方少了终值，因此服务方与甲方差异同时拉开
——
The biggest difference is in the 10th year: LaaS has more residual value than the service provider, while Party A has less final value, so the difference between the service provider and Party A widens at the same time.</t>
        </is>
      </c>
    </row>
    <row r="36" ht="22" customHeight="1" s="32">
      <c r="A36" t="inlineStr">
        <is>
          <t>租赁
——
lease</t>
        </is>
      </c>
      <c r="B36" t="n">
        <v>1</v>
      </c>
      <c r="C36" s="53">
        <f>'假设'!E9</f>
        <v/>
      </c>
      <c r="D36" s="53">
        <f>'假设'!F9</f>
        <v/>
      </c>
      <c r="E36" s="53">
        <f>'假设'!G9</f>
        <v/>
      </c>
      <c r="F36" s="53">
        <f>'假设'!H9</f>
        <v/>
      </c>
      <c r="G36" s="53">
        <f>'租赁模式'!H6</f>
        <v/>
      </c>
      <c r="H36" s="53">
        <f>G36-'EMC模式'!H6</f>
        <v/>
      </c>
      <c r="I36" s="53">
        <f>'租赁模式'!K7</f>
        <v/>
      </c>
      <c r="J36" s="53">
        <f>'租赁模式'!L7</f>
        <v/>
      </c>
      <c r="K36" s="53">
        <f>'租赁模式'!M7</f>
        <v/>
      </c>
      <c r="L36" s="53">
        <f>'租赁模式'!N7</f>
        <v/>
      </c>
      <c r="M36" s="53">
        <f>I36-J36-K36+L36</f>
        <v/>
      </c>
      <c r="N36" s="53">
        <f>I36-'EMC模式'!K7</f>
        <v/>
      </c>
      <c r="O36" s="53">
        <f>J36-'EMC模式'!L7</f>
        <v/>
      </c>
      <c r="P36" s="53">
        <f>L36-'EMC模式'!N7</f>
        <v/>
      </c>
      <c r="Q36" s="53">
        <f>M36-('EMC模式'!K7-'EMC模式'!L7-'EMC模式'!M7+'EMC模式'!N7)</f>
        <v/>
      </c>
      <c r="R36"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37" ht="22" customHeight="1" s="32">
      <c r="A37" t="inlineStr">
        <is>
          <t>租赁
——
lease</t>
        </is>
      </c>
      <c r="B37" t="n">
        <v>2</v>
      </c>
      <c r="C37" s="53">
        <f>'假设'!E9</f>
        <v/>
      </c>
      <c r="D37" s="53">
        <f>'假设'!F9</f>
        <v/>
      </c>
      <c r="E37" s="53">
        <f>'假设'!G9</f>
        <v/>
      </c>
      <c r="F37" s="53">
        <f>'假设'!H9</f>
        <v/>
      </c>
      <c r="G37" s="53">
        <f>'租赁模式'!H7</f>
        <v/>
      </c>
      <c r="H37" s="53">
        <f>G37-'EMC模式'!H7</f>
        <v/>
      </c>
      <c r="I37" s="53">
        <f>'租赁模式'!K8</f>
        <v/>
      </c>
      <c r="J37" s="53">
        <f>'租赁模式'!L8</f>
        <v/>
      </c>
      <c r="K37" s="53">
        <f>'租赁模式'!M8</f>
        <v/>
      </c>
      <c r="L37" s="53">
        <f>'租赁模式'!N8</f>
        <v/>
      </c>
      <c r="M37" s="53">
        <f>I37-J37-K37+L37</f>
        <v/>
      </c>
      <c r="N37" s="53">
        <f>I37-'EMC模式'!K8</f>
        <v/>
      </c>
      <c r="O37" s="53">
        <f>J37-'EMC模式'!L8</f>
        <v/>
      </c>
      <c r="P37" s="53">
        <f>L37-'EMC模式'!N8</f>
        <v/>
      </c>
      <c r="Q37" s="53">
        <f>M37-('EMC模式'!K8-'EMC模式'!L8-'EMC模式'!M8+'EMC模式'!N8)</f>
        <v/>
      </c>
      <c r="R37"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38" ht="22" customHeight="1" s="32">
      <c r="A38" t="inlineStr">
        <is>
          <t>租赁
——
lease</t>
        </is>
      </c>
      <c r="B38" t="n">
        <v>3</v>
      </c>
      <c r="C38" s="53">
        <f>'假设'!E9</f>
        <v/>
      </c>
      <c r="D38" s="53">
        <f>'假设'!F9</f>
        <v/>
      </c>
      <c r="E38" s="53">
        <f>'假设'!G9</f>
        <v/>
      </c>
      <c r="F38" s="53">
        <f>'假设'!H9</f>
        <v/>
      </c>
      <c r="G38" s="53">
        <f>'租赁模式'!H8</f>
        <v/>
      </c>
      <c r="H38" s="53">
        <f>G38-'EMC模式'!H8</f>
        <v/>
      </c>
      <c r="I38" s="53">
        <f>'租赁模式'!K9</f>
        <v/>
      </c>
      <c r="J38" s="53">
        <f>'租赁模式'!L9</f>
        <v/>
      </c>
      <c r="K38" s="53">
        <f>'租赁模式'!M9</f>
        <v/>
      </c>
      <c r="L38" s="53">
        <f>'租赁模式'!N9</f>
        <v/>
      </c>
      <c r="M38" s="53">
        <f>I38-J38-K38+L38</f>
        <v/>
      </c>
      <c r="N38" s="53">
        <f>I38-'EMC模式'!K9</f>
        <v/>
      </c>
      <c r="O38" s="53">
        <f>J38-'EMC模式'!L9</f>
        <v/>
      </c>
      <c r="P38" s="53">
        <f>L38-'EMC模式'!N9</f>
        <v/>
      </c>
      <c r="Q38" s="53">
        <f>M38-('EMC模式'!K9-'EMC模式'!L9-'EMC模式'!M9+'EMC模式'!N9)</f>
        <v/>
      </c>
      <c r="R38"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39" ht="22" customHeight="1" s="32">
      <c r="A39" t="inlineStr">
        <is>
          <t>租赁
——
lease</t>
        </is>
      </c>
      <c r="B39" t="n">
        <v>4</v>
      </c>
      <c r="C39" s="53">
        <f>'假设'!E9</f>
        <v/>
      </c>
      <c r="D39" s="53">
        <f>'假设'!F9</f>
        <v/>
      </c>
      <c r="E39" s="53">
        <f>'假设'!G9</f>
        <v/>
      </c>
      <c r="F39" s="53">
        <f>'假设'!H9</f>
        <v/>
      </c>
      <c r="G39" s="53">
        <f>'租赁模式'!H9</f>
        <v/>
      </c>
      <c r="H39" s="53">
        <f>G39-'EMC模式'!H9</f>
        <v/>
      </c>
      <c r="I39" s="53">
        <f>'租赁模式'!K10</f>
        <v/>
      </c>
      <c r="J39" s="53">
        <f>'租赁模式'!L10</f>
        <v/>
      </c>
      <c r="K39" s="53">
        <f>'租赁模式'!M10</f>
        <v/>
      </c>
      <c r="L39" s="53">
        <f>'租赁模式'!N10</f>
        <v/>
      </c>
      <c r="M39" s="53">
        <f>I39-J39-K39+L39</f>
        <v/>
      </c>
      <c r="N39" s="53">
        <f>I39-'EMC模式'!K10</f>
        <v/>
      </c>
      <c r="O39" s="53">
        <f>J39-'EMC模式'!L10</f>
        <v/>
      </c>
      <c r="P39" s="53">
        <f>L39-'EMC模式'!N10</f>
        <v/>
      </c>
      <c r="Q39" s="53">
        <f>M39-('EMC模式'!K10-'EMC模式'!L10-'EMC模式'!M10+'EMC模式'!N10)</f>
        <v/>
      </c>
      <c r="R39"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0" ht="22" customHeight="1" s="32">
      <c r="A40" t="inlineStr">
        <is>
          <t>租赁
——
lease</t>
        </is>
      </c>
      <c r="B40" t="n">
        <v>5</v>
      </c>
      <c r="C40" s="53">
        <f>'假设'!E9</f>
        <v/>
      </c>
      <c r="D40" s="53">
        <f>'假设'!F9</f>
        <v/>
      </c>
      <c r="E40" s="53">
        <f>'假设'!G9</f>
        <v/>
      </c>
      <c r="F40" s="53">
        <f>'假设'!H9</f>
        <v/>
      </c>
      <c r="G40" s="53">
        <f>'租赁模式'!H10</f>
        <v/>
      </c>
      <c r="H40" s="53">
        <f>G40-'EMC模式'!H10</f>
        <v/>
      </c>
      <c r="I40" s="53">
        <f>'租赁模式'!K11</f>
        <v/>
      </c>
      <c r="J40" s="53">
        <f>'租赁模式'!L11</f>
        <v/>
      </c>
      <c r="K40" s="53">
        <f>'租赁模式'!M11</f>
        <v/>
      </c>
      <c r="L40" s="53">
        <f>'租赁模式'!N11</f>
        <v/>
      </c>
      <c r="M40" s="53">
        <f>I40-J40-K40+L40</f>
        <v/>
      </c>
      <c r="N40" s="53">
        <f>I40-'EMC模式'!K11</f>
        <v/>
      </c>
      <c r="O40" s="53">
        <f>J40-'EMC模式'!L11</f>
        <v/>
      </c>
      <c r="P40" s="53">
        <f>L40-'EMC模式'!N11</f>
        <v/>
      </c>
      <c r="Q40" s="53">
        <f>M40-('EMC模式'!K11-'EMC模式'!L11-'EMC模式'!M11+'EMC模式'!N11)</f>
        <v/>
      </c>
      <c r="R40"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1" ht="22" customHeight="1" s="32">
      <c r="A41" t="inlineStr">
        <is>
          <t>租赁
——
lease</t>
        </is>
      </c>
      <c r="B41" t="n">
        <v>6</v>
      </c>
      <c r="C41" s="53">
        <f>'假设'!E9</f>
        <v/>
      </c>
      <c r="D41" s="53">
        <f>'假设'!F9</f>
        <v/>
      </c>
      <c r="E41" s="53">
        <f>'假设'!G9</f>
        <v/>
      </c>
      <c r="F41" s="53">
        <f>'假设'!H9</f>
        <v/>
      </c>
      <c r="G41" s="53">
        <f>'租赁模式'!H11</f>
        <v/>
      </c>
      <c r="H41" s="53">
        <f>G41-'EMC模式'!H11</f>
        <v/>
      </c>
      <c r="I41" s="53">
        <f>'租赁模式'!K12</f>
        <v/>
      </c>
      <c r="J41" s="53">
        <f>'租赁模式'!L12</f>
        <v/>
      </c>
      <c r="K41" s="53">
        <f>'租赁模式'!M12</f>
        <v/>
      </c>
      <c r="L41" s="53">
        <f>'租赁模式'!N12</f>
        <v/>
      </c>
      <c r="M41" s="53">
        <f>I41-J41-K41+L41</f>
        <v/>
      </c>
      <c r="N41" s="53">
        <f>I41-'EMC模式'!K12</f>
        <v/>
      </c>
      <c r="O41" s="53">
        <f>J41-'EMC模式'!L12</f>
        <v/>
      </c>
      <c r="P41" s="53">
        <f>L41-'EMC模式'!N12</f>
        <v/>
      </c>
      <c r="Q41" s="53">
        <f>M41-('EMC模式'!K12-'EMC模式'!L12-'EMC模式'!M12+'EMC模式'!N12)</f>
        <v/>
      </c>
      <c r="R41"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2" ht="22" customHeight="1" s="32">
      <c r="A42" t="inlineStr">
        <is>
          <t>租赁
——
lease</t>
        </is>
      </c>
      <c r="B42" t="n">
        <v>7</v>
      </c>
      <c r="C42" s="53">
        <f>'假设'!E9</f>
        <v/>
      </c>
      <c r="D42" s="53">
        <f>'假设'!F9</f>
        <v/>
      </c>
      <c r="E42" s="53">
        <f>'假设'!G9</f>
        <v/>
      </c>
      <c r="F42" s="53">
        <f>'假设'!H9</f>
        <v/>
      </c>
      <c r="G42" s="53">
        <f>'租赁模式'!H12</f>
        <v/>
      </c>
      <c r="H42" s="53">
        <f>G42-'EMC模式'!H12</f>
        <v/>
      </c>
      <c r="I42" s="53">
        <f>'租赁模式'!K13</f>
        <v/>
      </c>
      <c r="J42" s="53">
        <f>'租赁模式'!L13</f>
        <v/>
      </c>
      <c r="K42" s="53">
        <f>'租赁模式'!M13</f>
        <v/>
      </c>
      <c r="L42" s="53">
        <f>'租赁模式'!N13</f>
        <v/>
      </c>
      <c r="M42" s="53">
        <f>I42-J42-K42+L42</f>
        <v/>
      </c>
      <c r="N42" s="53">
        <f>I42-'EMC模式'!K13</f>
        <v/>
      </c>
      <c r="O42" s="53">
        <f>J42-'EMC模式'!L13</f>
        <v/>
      </c>
      <c r="P42" s="53">
        <f>L42-'EMC模式'!N13</f>
        <v/>
      </c>
      <c r="Q42" s="53">
        <f>M42-('EMC模式'!K13-'EMC模式'!L13-'EMC模式'!M13+'EMC模式'!N13)</f>
        <v/>
      </c>
      <c r="R42"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3" ht="22" customHeight="1" s="32">
      <c r="A43" t="inlineStr">
        <is>
          <t>租赁
——
lease</t>
        </is>
      </c>
      <c r="B43" t="n">
        <v>8</v>
      </c>
      <c r="C43" s="53">
        <f>'假设'!E9</f>
        <v/>
      </c>
      <c r="D43" s="53">
        <f>'假设'!F9</f>
        <v/>
      </c>
      <c r="E43" s="53">
        <f>'假设'!G9</f>
        <v/>
      </c>
      <c r="F43" s="53">
        <f>'假设'!H9</f>
        <v/>
      </c>
      <c r="G43" s="53">
        <f>'租赁模式'!H13</f>
        <v/>
      </c>
      <c r="H43" s="53">
        <f>G43-'EMC模式'!H13</f>
        <v/>
      </c>
      <c r="I43" s="53">
        <f>'租赁模式'!K14</f>
        <v/>
      </c>
      <c r="J43" s="53">
        <f>'租赁模式'!L14</f>
        <v/>
      </c>
      <c r="K43" s="53">
        <f>'租赁模式'!M14</f>
        <v/>
      </c>
      <c r="L43" s="53">
        <f>'租赁模式'!N14</f>
        <v/>
      </c>
      <c r="M43" s="53">
        <f>I43-J43-K43+L43</f>
        <v/>
      </c>
      <c r="N43" s="53">
        <f>I43-'EMC模式'!K14</f>
        <v/>
      </c>
      <c r="O43" s="53">
        <f>J43-'EMC模式'!L14</f>
        <v/>
      </c>
      <c r="P43" s="53">
        <f>L43-'EMC模式'!N14</f>
        <v/>
      </c>
      <c r="Q43" s="53">
        <f>M43-('EMC模式'!K14-'EMC模式'!L14-'EMC模式'!M14+'EMC模式'!N14)</f>
        <v/>
      </c>
      <c r="R43"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4" ht="22" customHeight="1" s="32">
      <c r="A44" t="inlineStr">
        <is>
          <t>租赁
——
lease</t>
        </is>
      </c>
      <c r="B44" t="n">
        <v>9</v>
      </c>
      <c r="C44" s="53">
        <f>'假设'!E9</f>
        <v/>
      </c>
      <c r="D44" s="53">
        <f>'假设'!F9</f>
        <v/>
      </c>
      <c r="E44" s="53">
        <f>'假设'!G9</f>
        <v/>
      </c>
      <c r="F44" s="53">
        <f>'假设'!H9</f>
        <v/>
      </c>
      <c r="G44" s="53">
        <f>'租赁模式'!H14</f>
        <v/>
      </c>
      <c r="H44" s="53">
        <f>G44-'EMC模式'!H14</f>
        <v/>
      </c>
      <c r="I44" s="53">
        <f>'租赁模式'!K15</f>
        <v/>
      </c>
      <c r="J44" s="53">
        <f>'租赁模式'!L15</f>
        <v/>
      </c>
      <c r="K44" s="53">
        <f>'租赁模式'!M15</f>
        <v/>
      </c>
      <c r="L44" s="53">
        <f>'租赁模式'!N15</f>
        <v/>
      </c>
      <c r="M44" s="53">
        <f>I44-J44-K44+L44</f>
        <v/>
      </c>
      <c r="N44" s="53">
        <f>I44-'EMC模式'!K15</f>
        <v/>
      </c>
      <c r="O44" s="53">
        <f>J44-'EMC模式'!L15</f>
        <v/>
      </c>
      <c r="P44" s="53">
        <f>L44-'EMC模式'!N15</f>
        <v/>
      </c>
      <c r="Q44" s="53">
        <f>M44-('EMC模式'!K15-'EMC模式'!L15-'EMC模式'!M15+'EMC模式'!N15)</f>
        <v/>
      </c>
      <c r="R44"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5" ht="22" customHeight="1" s="32">
      <c r="A45" t="inlineStr">
        <is>
          <t>租赁
——
lease</t>
        </is>
      </c>
      <c r="B45" t="n">
        <v>10</v>
      </c>
      <c r="C45" s="53">
        <f>'假设'!E9</f>
        <v/>
      </c>
      <c r="D45" s="53">
        <f>'假设'!F9</f>
        <v/>
      </c>
      <c r="E45" s="53">
        <f>'假设'!G9</f>
        <v/>
      </c>
      <c r="F45" s="53">
        <f>'假设'!H9</f>
        <v/>
      </c>
      <c r="G45" s="53">
        <f>'租赁模式'!H15</f>
        <v/>
      </c>
      <c r="H45" s="53">
        <f>G45-'EMC模式'!H15</f>
        <v/>
      </c>
      <c r="I45" s="53">
        <f>'租赁模式'!K16</f>
        <v/>
      </c>
      <c r="J45" s="53">
        <f>'租赁模式'!L16</f>
        <v/>
      </c>
      <c r="K45" s="53">
        <f>'租赁模式'!M16</f>
        <v/>
      </c>
      <c r="L45" s="53">
        <f>'租赁模式'!N16</f>
        <v/>
      </c>
      <c r="M45" s="53">
        <f>I45-J45-K45+L45</f>
        <v/>
      </c>
      <c r="N45" s="53">
        <f>I45-'EMC模式'!K16</f>
        <v/>
      </c>
      <c r="O45" s="53">
        <f>J45-'EMC模式'!L16</f>
        <v/>
      </c>
      <c r="P45" s="53">
        <f>L45-'EMC模式'!N16</f>
        <v/>
      </c>
      <c r="Q45" s="53">
        <f>M45-('EMC模式'!K16-'EMC模式'!L16-'EMC模式'!M16+'EMC模式'!N16)</f>
        <v/>
      </c>
      <c r="R45" s="22" t="inlineStr">
        <is>
          <t>第10年含终值/残值归属；本模式下终值归甲方，因此甲方收益高于LaaS
——
The 10th year includes vesting of the final value/residual value; in this model, the final value belongs to Party A, so Party A’s income is higher than that of LaaS</t>
        </is>
      </c>
    </row>
    <row r="46"/>
    <row r="47"/>
    <row r="48" ht="15" customHeight="1" s="32">
      <c r="A48" s="39" t="inlineStr">
        <is>
          <t>快速解读
——
Quick interpretation</t>
        </is>
      </c>
      <c r="B48" s="39" t="n"/>
      <c r="C48" s="39" t="n"/>
      <c r="D48" s="39" t="n"/>
      <c r="E48" s="39" t="n"/>
      <c r="F48" s="39" t="n"/>
    </row>
    <row r="49" ht="15" customHeight="1" s="32">
      <c r="A49" s="48" t="inlineStr">
        <is>
          <t>观察点
——
observation point</t>
        </is>
      </c>
      <c r="B49" s="48" t="inlineStr">
        <is>
          <t>应该看哪几列
——
Which columns should I look at?</t>
        </is>
      </c>
      <c r="C49" s="48" t="inlineStr">
        <is>
          <t>你会看到什么
——
what will you see</t>
        </is>
      </c>
      <c r="D49" s="48" t="inlineStr">
        <is>
          <t>业务解释
——
Business explanation</t>
        </is>
      </c>
      <c r="E49" s="48" t="inlineStr">
        <is>
          <t>结论提示
——
Conclusion tips</t>
        </is>
      </c>
      <c r="F49" s="48" t="n"/>
    </row>
    <row r="50" ht="15" customHeight="1" s="32">
      <c r="A50" t="inlineStr">
        <is>
          <t>甲方差异
——
Differences between Party A</t>
        </is>
      </c>
      <c r="B50" t="inlineStr">
        <is>
          <t>D~H</t>
        </is>
      </c>
      <c r="C50" t="inlineStr">
        <is>
          <t>前9年四种模式甲方收益基本一致，第10年LaaS少了甲方终值
——
In the first 9 years, the income of Party A under the four models was basically the same. In the 10th year, LaaS decreased the final value of Party A.</t>
        </is>
      </c>
      <c r="D50" t="inlineStr">
        <is>
          <t>在业主总投入恒定时，甲方真正被拉开的是资产/终值归属
——
When the total investment of the owner is constant, what Party A really loses is the ownership of assets/terminal value.</t>
        </is>
      </c>
      <c r="E50" t="inlineStr">
        <is>
          <t>甲方若重视最终资产，LaaS通常需要另行设计买断/回购条款
——
If Party A attaches great importance to the final assets, LaaS usually needs to design separate buyout/repurchase terms</t>
        </is>
      </c>
    </row>
    <row r="51" ht="15" customHeight="1" s="32">
      <c r="A51" t="inlineStr">
        <is>
          <t>服务方差异
——
Server differences</t>
        </is>
      </c>
      <c r="B51" t="inlineStr">
        <is>
          <t>I~Q</t>
        </is>
      </c>
      <c r="C51" t="inlineStr">
        <is>
          <t>能源托管收入最高但成本也最高；租赁成本最低；LaaS在第10年拿到残值
——
Energy hosting has the highest income but also the highest cost; leasing cost is the lowest; LaaS gets the residual value in the 10th year</t>
        </is>
      </c>
      <c r="D51" t="inlineStr">
        <is>
          <t>同一业主支付额下，差异来自服务费口径和谁承担运维、电费、残值
——
Under the same owner's payment amount, the difference comes from the service fee caliber and who is responsible for operation and maintenance, electricity bills, and residual value.</t>
        </is>
      </c>
      <c r="E51" t="inlineStr">
        <is>
          <t>服务方若追求更高尾部价值，LaaS更有吸引力
——
If service providers pursue higher tail value, LaaS will be more attractive</t>
        </is>
      </c>
    </row>
    <row r="52" ht="15" customHeight="1" s="32">
      <c r="A52" t="inlineStr">
        <is>
          <t>不拉开差异的部分
——
Don't make differences</t>
        </is>
      </c>
      <c r="B52" t="inlineStr">
        <is>
          <t>逐年利润对比!A35:E39
——
Year-by-year profit comparison! A35:E39</t>
        </is>
      </c>
      <c r="C52" t="inlineStr">
        <is>
          <t>设备商、EPC、债务条件基本相同
——
Equipment vendors, EPCs, and debt conditions are basically the same</t>
        </is>
      </c>
      <c r="D52" t="inlineStr">
        <is>
          <t>这类收益主要在建设期或统一融资条件下已锁定
——
This type of income is mainly locked in during the construction period or under unified financing conditions</t>
        </is>
      </c>
      <c r="E52" t="inlineStr">
        <is>
          <t>运营期真正值得谈判的是服务费和资产归属
——
What is really worth negotiating during the operation period is service fees and asset ownership.</t>
        </is>
      </c>
    </row>
  </sheetData>
  <conditionalFormatting sqref="H6:H45">
    <cfRule type="cellIs" priority="1" operator="greaterThan" dxfId="0">
      <formula>0</formula>
    </cfRule>
    <cfRule type="cellIs" priority="2" operator="lessThan" dxfId="1">
      <formula>0</formula>
    </cfRule>
  </conditionalFormatting>
  <conditionalFormatting sqref="Q6:Q45">
    <cfRule type="cellIs" priority="3" operator="greaterThan" dxfId="0">
      <formula>0</formula>
    </cfRule>
    <cfRule type="cellIs" priority="4" operator="lessThan" dxfId="1">
      <formula>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2026-04-23T02:32:46Z</dcterms:created>
  <dcterms:modified xsi:type="dcterms:W3CDTF">2026-04-23T02:37:05Z</dcterms:modified>
</cp:coreProperties>
</file>